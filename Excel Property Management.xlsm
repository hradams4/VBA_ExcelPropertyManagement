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1" ContentType="application/binary"/>
  <Override PartName="/xl/commentsmeta6" ContentType="application/binary"/>
  <Override PartName="/xl/commentsmeta8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ams\Desktop\FINALSER416\hradams4_FinalProject\"/>
    </mc:Choice>
  </mc:AlternateContent>
  <xr:revisionPtr revIDLastSave="0" documentId="13_ncr:1_{356D5A62-A8CE-40C0-8EF3-F13BED577626}" xr6:coauthVersionLast="47" xr6:coauthVersionMax="47" xr10:uidLastSave="{00000000-0000-0000-0000-000000000000}"/>
  <bookViews>
    <workbookView xWindow="-120" yWindow="-120" windowWidth="22740" windowHeight="15240" firstSheet="1" activeTab="5" xr2:uid="{00000000-000D-0000-FFFF-FFFF00000000}"/>
  </bookViews>
  <sheets>
    <sheet name="PrivTax-old" sheetId="3" state="hidden" r:id="rId1"/>
    <sheet name="2480" sheetId="15" r:id="rId2"/>
    <sheet name="1029" sheetId="6" r:id="rId3"/>
    <sheet name="35736" sheetId="7" r:id="rId4"/>
    <sheet name="2592" sheetId="8" r:id="rId5"/>
    <sheet name="5436" sheetId="9" r:id="rId6"/>
    <sheet name="932" sheetId="10" r:id="rId7"/>
    <sheet name="2614" sheetId="11" r:id="rId8"/>
    <sheet name="8995" sheetId="12" r:id="rId9"/>
    <sheet name="9001" sheetId="13" r:id="rId10"/>
    <sheet name="Lists" sheetId="14" r:id="rId11"/>
  </sheets>
  <functionGroups builtInGroupCount="19"/>
  <externalReferences>
    <externalReference r:id="rId12"/>
  </externalReferences>
  <definedNames>
    <definedName name="Months" localSheetId="1">[1]Lists!$B$2:$B$13</definedName>
    <definedName name="Months">Lists!$B$2:$B$13</definedName>
    <definedName name="Rent">'35736'!$G$10</definedName>
    <definedName name="TextMonths" localSheetId="1">[1]Lists!$C$2:$C$13</definedName>
    <definedName name="TextMonths">Lists!$C$2:$C$13</definedName>
    <definedName name="Today" localSheetId="1">[1]XactSumm!$I$5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20" roundtripDataSignature="AMtx7mh7x8yEsT5wXvKQSD0j0VqDnqFzRg=="/>
    </ext>
  </extLst>
</workbook>
</file>

<file path=xl/calcChain.xml><?xml version="1.0" encoding="utf-8"?>
<calcChain xmlns="http://schemas.openxmlformats.org/spreadsheetml/2006/main">
  <c r="D3" i="15" l="1" a="1"/>
  <c r="D3" i="15" s="1"/>
  <c r="B116" i="11"/>
  <c r="B113" i="11"/>
  <c r="B118" i="11"/>
  <c r="A118" i="11"/>
  <c r="A116" i="11"/>
  <c r="A113" i="11"/>
  <c r="A102" i="11"/>
  <c r="B108" i="11"/>
  <c r="B102" i="11"/>
  <c r="B122" i="12" l="1"/>
  <c r="A122" i="12"/>
  <c r="D121" i="12"/>
  <c r="B121" i="12" s="1"/>
  <c r="C207" i="11"/>
  <c r="B207" i="11"/>
  <c r="A207" i="11"/>
  <c r="C225" i="9"/>
  <c r="B225" i="9"/>
  <c r="A225" i="9"/>
  <c r="D224" i="9"/>
  <c r="B224" i="9" s="1"/>
  <c r="A224" i="9"/>
  <c r="C181" i="8"/>
  <c r="B181" i="8"/>
  <c r="A181" i="8"/>
  <c r="C180" i="8"/>
  <c r="B180" i="8"/>
  <c r="A180" i="8"/>
  <c r="C101" i="6"/>
  <c r="B101" i="6"/>
  <c r="A101" i="6"/>
  <c r="C87" i="13"/>
  <c r="B87" i="13"/>
  <c r="A87" i="13"/>
  <c r="C86" i="13"/>
  <c r="B86" i="13"/>
  <c r="A86" i="13"/>
  <c r="C84" i="13"/>
  <c r="B84" i="13"/>
  <c r="A84" i="13"/>
  <c r="C83" i="13"/>
  <c r="B83" i="13"/>
  <c r="A83" i="13"/>
  <c r="C81" i="13"/>
  <c r="B81" i="13"/>
  <c r="A81" i="13"/>
  <c r="C80" i="13"/>
  <c r="B80" i="13"/>
  <c r="A80" i="13"/>
  <c r="C78" i="13"/>
  <c r="B78" i="13"/>
  <c r="A78" i="13"/>
  <c r="C77" i="13"/>
  <c r="B77" i="13"/>
  <c r="A77" i="13"/>
  <c r="C75" i="13"/>
  <c r="B75" i="13"/>
  <c r="A75" i="13"/>
  <c r="C74" i="13"/>
  <c r="B74" i="13"/>
  <c r="A74" i="13"/>
  <c r="C72" i="13"/>
  <c r="B72" i="13"/>
  <c r="A72" i="13"/>
  <c r="C71" i="13"/>
  <c r="B71" i="13"/>
  <c r="A71" i="13"/>
  <c r="D70" i="13"/>
  <c r="D73" i="13" s="1"/>
  <c r="B70" i="13"/>
  <c r="A70" i="13"/>
  <c r="E70" i="13" s="1"/>
  <c r="C70" i="13" s="1"/>
  <c r="C69" i="13"/>
  <c r="B69" i="13"/>
  <c r="A69" i="13"/>
  <c r="C68" i="13"/>
  <c r="B68" i="13"/>
  <c r="A68" i="13"/>
  <c r="C67" i="13"/>
  <c r="B67" i="13"/>
  <c r="A67" i="13"/>
  <c r="C66" i="13"/>
  <c r="B66" i="13"/>
  <c r="A66" i="13"/>
  <c r="H65" i="13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H84" i="13" s="1"/>
  <c r="H85" i="13" s="1"/>
  <c r="H86" i="13" s="1"/>
  <c r="H87" i="13" s="1"/>
  <c r="B65" i="13"/>
  <c r="A65" i="13"/>
  <c r="E65" i="13" s="1"/>
  <c r="C65" i="13" s="1"/>
  <c r="B120" i="12"/>
  <c r="A120" i="12"/>
  <c r="D119" i="12"/>
  <c r="B119" i="12" s="1"/>
  <c r="B118" i="12"/>
  <c r="A118" i="12"/>
  <c r="B117" i="12"/>
  <c r="A117" i="12"/>
  <c r="B115" i="12"/>
  <c r="A115" i="12"/>
  <c r="B113" i="12"/>
  <c r="A113" i="12"/>
  <c r="B111" i="12"/>
  <c r="A111" i="12"/>
  <c r="B109" i="12"/>
  <c r="A109" i="12"/>
  <c r="B107" i="12"/>
  <c r="A107" i="12"/>
  <c r="B105" i="12"/>
  <c r="A105" i="12"/>
  <c r="D104" i="12"/>
  <c r="A104" i="12" s="1"/>
  <c r="B104" i="12"/>
  <c r="C205" i="11"/>
  <c r="B205" i="11"/>
  <c r="A205" i="11"/>
  <c r="C203" i="11"/>
  <c r="B203" i="11"/>
  <c r="A203" i="11"/>
  <c r="C201" i="11"/>
  <c r="B201" i="11"/>
  <c r="A201" i="11"/>
  <c r="C199" i="11"/>
  <c r="B199" i="11"/>
  <c r="A199" i="11"/>
  <c r="C197" i="11"/>
  <c r="B197" i="11"/>
  <c r="A197" i="11"/>
  <c r="D196" i="11"/>
  <c r="D198" i="11" s="1"/>
  <c r="C195" i="11"/>
  <c r="B195" i="11"/>
  <c r="A195" i="11"/>
  <c r="C146" i="10"/>
  <c r="B146" i="10"/>
  <c r="A146" i="10"/>
  <c r="D145" i="10"/>
  <c r="B145" i="10" s="1"/>
  <c r="A145" i="10"/>
  <c r="C144" i="10"/>
  <c r="B144" i="10"/>
  <c r="A144" i="10"/>
  <c r="D143" i="10"/>
  <c r="A143" i="10" s="1"/>
  <c r="C142" i="10"/>
  <c r="B142" i="10"/>
  <c r="A142" i="10"/>
  <c r="D141" i="10"/>
  <c r="A141" i="10" s="1"/>
  <c r="B141" i="10"/>
  <c r="C140" i="10"/>
  <c r="B140" i="10"/>
  <c r="A140" i="10"/>
  <c r="D139" i="10"/>
  <c r="A139" i="10" s="1"/>
  <c r="E139" i="10" s="1"/>
  <c r="C139" i="10" s="1"/>
  <c r="B139" i="10"/>
  <c r="C138" i="10"/>
  <c r="B138" i="10"/>
  <c r="A138" i="10"/>
  <c r="D137" i="10"/>
  <c r="B137" i="10" s="1"/>
  <c r="C136" i="10"/>
  <c r="B136" i="10"/>
  <c r="A136" i="10"/>
  <c r="D135" i="10"/>
  <c r="A135" i="10" s="1"/>
  <c r="B135" i="10"/>
  <c r="C134" i="10"/>
  <c r="B134" i="10"/>
  <c r="A134" i="10"/>
  <c r="D133" i="10"/>
  <c r="B133" i="10" s="1"/>
  <c r="A133" i="10"/>
  <c r="C223" i="9"/>
  <c r="B223" i="9"/>
  <c r="A223" i="9"/>
  <c r="D222" i="9"/>
  <c r="B222" i="9" s="1"/>
  <c r="C221" i="9"/>
  <c r="B221" i="9"/>
  <c r="A221" i="9"/>
  <c r="D220" i="9"/>
  <c r="B220" i="9" s="1"/>
  <c r="C219" i="9"/>
  <c r="B219" i="9"/>
  <c r="A219" i="9"/>
  <c r="D218" i="9"/>
  <c r="B218" i="9" s="1"/>
  <c r="C217" i="9"/>
  <c r="B217" i="9"/>
  <c r="A217" i="9"/>
  <c r="D216" i="9"/>
  <c r="A216" i="9" s="1"/>
  <c r="C215" i="9"/>
  <c r="B215" i="9"/>
  <c r="A215" i="9"/>
  <c r="D214" i="9"/>
  <c r="B214" i="9" s="1"/>
  <c r="A214" i="9"/>
  <c r="C213" i="9"/>
  <c r="B213" i="9"/>
  <c r="A213" i="9"/>
  <c r="D212" i="9"/>
  <c r="A212" i="9" s="1"/>
  <c r="C178" i="8"/>
  <c r="B178" i="8"/>
  <c r="A178" i="8"/>
  <c r="C177" i="8"/>
  <c r="B177" i="8"/>
  <c r="A177" i="8"/>
  <c r="C175" i="8"/>
  <c r="B175" i="8"/>
  <c r="A175" i="8"/>
  <c r="C174" i="8"/>
  <c r="B174" i="8"/>
  <c r="A174" i="8"/>
  <c r="C172" i="8"/>
  <c r="B172" i="8"/>
  <c r="A172" i="8"/>
  <c r="C171" i="8"/>
  <c r="B171" i="8"/>
  <c r="A171" i="8"/>
  <c r="D170" i="8"/>
  <c r="D173" i="8" s="1"/>
  <c r="C169" i="8"/>
  <c r="B169" i="8"/>
  <c r="A169" i="8"/>
  <c r="C168" i="8"/>
  <c r="B168" i="8"/>
  <c r="A168" i="8"/>
  <c r="C167" i="8"/>
  <c r="B167" i="8"/>
  <c r="A167" i="8"/>
  <c r="C165" i="8"/>
  <c r="B165" i="8"/>
  <c r="A165" i="8"/>
  <c r="D164" i="8"/>
  <c r="A164" i="8" s="1"/>
  <c r="E164" i="8" s="1"/>
  <c r="C164" i="8" s="1"/>
  <c r="B164" i="8"/>
  <c r="C163" i="8"/>
  <c r="B163" i="8"/>
  <c r="A163" i="8"/>
  <c r="C162" i="8"/>
  <c r="B162" i="8"/>
  <c r="A162" i="8"/>
  <c r="D161" i="8"/>
  <c r="A161" i="8" s="1"/>
  <c r="B161" i="8"/>
  <c r="C293" i="7"/>
  <c r="B293" i="7"/>
  <c r="A293" i="7"/>
  <c r="C292" i="7"/>
  <c r="B292" i="7"/>
  <c r="A292" i="7"/>
  <c r="C290" i="7"/>
  <c r="B290" i="7"/>
  <c r="A290" i="7"/>
  <c r="C289" i="7"/>
  <c r="B289" i="7"/>
  <c r="A289" i="7"/>
  <c r="C287" i="7"/>
  <c r="B287" i="7"/>
  <c r="A287" i="7"/>
  <c r="C286" i="7"/>
  <c r="B286" i="7"/>
  <c r="A286" i="7"/>
  <c r="C284" i="7"/>
  <c r="B284" i="7"/>
  <c r="A284" i="7"/>
  <c r="C283" i="7"/>
  <c r="B283" i="7"/>
  <c r="A283" i="7"/>
  <c r="C282" i="7"/>
  <c r="B282" i="7"/>
  <c r="A282" i="7"/>
  <c r="C281" i="7"/>
  <c r="B281" i="7"/>
  <c r="A281" i="7"/>
  <c r="C279" i="7"/>
  <c r="B279" i="7"/>
  <c r="A279" i="7"/>
  <c r="D278" i="7"/>
  <c r="D280" i="7" s="1"/>
  <c r="C277" i="7"/>
  <c r="B277" i="7"/>
  <c r="A277" i="7"/>
  <c r="C276" i="7"/>
  <c r="B276" i="7"/>
  <c r="A276" i="7"/>
  <c r="C275" i="7"/>
  <c r="B275" i="7"/>
  <c r="A275" i="7"/>
  <c r="D274" i="7"/>
  <c r="B274" i="7" s="1"/>
  <c r="C273" i="7"/>
  <c r="B273" i="7"/>
  <c r="A273" i="7"/>
  <c r="C272" i="7"/>
  <c r="B272" i="7"/>
  <c r="A272" i="7"/>
  <c r="D271" i="7"/>
  <c r="B271" i="7" s="1"/>
  <c r="A271" i="7"/>
  <c r="C270" i="7"/>
  <c r="B270" i="7"/>
  <c r="A270" i="7"/>
  <c r="C269" i="7"/>
  <c r="B269" i="7"/>
  <c r="A269" i="7"/>
  <c r="C268" i="7"/>
  <c r="B268" i="7"/>
  <c r="A268" i="7"/>
  <c r="D267" i="7"/>
  <c r="A267" i="7" s="1"/>
  <c r="E267" i="7" s="1"/>
  <c r="C267" i="7" s="1"/>
  <c r="B267" i="7"/>
  <c r="C99" i="6"/>
  <c r="B99" i="6"/>
  <c r="A99" i="6"/>
  <c r="C97" i="6"/>
  <c r="B97" i="6"/>
  <c r="A97" i="6"/>
  <c r="C95" i="6"/>
  <c r="B95" i="6"/>
  <c r="A95" i="6"/>
  <c r="C93" i="6"/>
  <c r="B93" i="6"/>
  <c r="A93" i="6"/>
  <c r="C91" i="6"/>
  <c r="B91" i="6"/>
  <c r="A91" i="6"/>
  <c r="C89" i="6"/>
  <c r="B89" i="6"/>
  <c r="A89" i="6"/>
  <c r="C87" i="6"/>
  <c r="B87" i="6"/>
  <c r="A87" i="6"/>
  <c r="C356" i="15"/>
  <c r="B356" i="15"/>
  <c r="A356" i="15"/>
  <c r="D355" i="15"/>
  <c r="B355" i="15" s="1"/>
  <c r="C354" i="15"/>
  <c r="B354" i="15"/>
  <c r="A354" i="15"/>
  <c r="D353" i="15"/>
  <c r="B353" i="15" s="1"/>
  <c r="C352" i="15"/>
  <c r="B352" i="15"/>
  <c r="A352" i="15"/>
  <c r="D351" i="15"/>
  <c r="A351" i="15" s="1"/>
  <c r="C350" i="15"/>
  <c r="B350" i="15"/>
  <c r="A350" i="15"/>
  <c r="C349" i="15"/>
  <c r="D348" i="15"/>
  <c r="A348" i="15" s="1"/>
  <c r="B348" i="15"/>
  <c r="C347" i="15"/>
  <c r="B347" i="15"/>
  <c r="A347" i="15"/>
  <c r="C346" i="15"/>
  <c r="D344" i="15"/>
  <c r="D345" i="15" s="1"/>
  <c r="C344" i="15"/>
  <c r="B344" i="15"/>
  <c r="A344" i="15"/>
  <c r="C343" i="15"/>
  <c r="B343" i="15"/>
  <c r="A343" i="15"/>
  <c r="D342" i="15"/>
  <c r="B342" i="15" s="1"/>
  <c r="C341" i="15"/>
  <c r="B341" i="15"/>
  <c r="A341" i="15"/>
  <c r="C340" i="15"/>
  <c r="D339" i="15"/>
  <c r="B339" i="15" s="1"/>
  <c r="C338" i="15"/>
  <c r="B338" i="15"/>
  <c r="A338" i="15"/>
  <c r="C337" i="15"/>
  <c r="B337" i="15"/>
  <c r="A337" i="15"/>
  <c r="D336" i="15"/>
  <c r="B336" i="15" s="1"/>
  <c r="C335" i="15"/>
  <c r="B335" i="15"/>
  <c r="A335" i="15"/>
  <c r="C334" i="15"/>
  <c r="B334" i="15"/>
  <c r="A334" i="15"/>
  <c r="D333" i="15"/>
  <c r="A333" i="15" s="1"/>
  <c r="C332" i="15"/>
  <c r="B332" i="15"/>
  <c r="A332" i="15"/>
  <c r="C331" i="15"/>
  <c r="B331" i="15"/>
  <c r="A331" i="15"/>
  <c r="C329" i="15"/>
  <c r="B329" i="15"/>
  <c r="A329" i="15"/>
  <c r="E104" i="12" l="1"/>
  <c r="E141" i="10"/>
  <c r="C141" i="10" s="1"/>
  <c r="E135" i="10"/>
  <c r="C135" i="10" s="1"/>
  <c r="B212" i="9"/>
  <c r="B216" i="9"/>
  <c r="E212" i="9"/>
  <c r="C212" i="9" s="1"/>
  <c r="E216" i="9"/>
  <c r="C216" i="9" s="1"/>
  <c r="D166" i="8"/>
  <c r="B166" i="8" s="1"/>
  <c r="E161" i="8"/>
  <c r="C161" i="8" s="1"/>
  <c r="B170" i="8"/>
  <c r="B333" i="15"/>
  <c r="A342" i="15"/>
  <c r="D349" i="15"/>
  <c r="B351" i="15"/>
  <c r="E351" i="15" s="1"/>
  <c r="C351" i="15" s="1"/>
  <c r="E333" i="15"/>
  <c r="C333" i="15" s="1"/>
  <c r="E348" i="15"/>
  <c r="C348" i="15" s="1"/>
  <c r="A121" i="12"/>
  <c r="E121" i="12" s="1"/>
  <c r="E224" i="9"/>
  <c r="C224" i="9" s="1"/>
  <c r="D76" i="13"/>
  <c r="A73" i="13"/>
  <c r="B73" i="13"/>
  <c r="D106" i="12"/>
  <c r="A119" i="12"/>
  <c r="E119" i="12" s="1"/>
  <c r="D200" i="11"/>
  <c r="B198" i="11"/>
  <c r="A198" i="11"/>
  <c r="E198" i="11" s="1"/>
  <c r="C198" i="11" s="1"/>
  <c r="A196" i="11"/>
  <c r="B196" i="11"/>
  <c r="E133" i="10"/>
  <c r="C133" i="10" s="1"/>
  <c r="E145" i="10"/>
  <c r="C145" i="10" s="1"/>
  <c r="A137" i="10"/>
  <c r="E137" i="10" s="1"/>
  <c r="C137" i="10" s="1"/>
  <c r="B143" i="10"/>
  <c r="E143" i="10" s="1"/>
  <c r="C143" i="10" s="1"/>
  <c r="E214" i="9"/>
  <c r="C214" i="9" s="1"/>
  <c r="A222" i="9"/>
  <c r="E222" i="9" s="1"/>
  <c r="C222" i="9" s="1"/>
  <c r="A220" i="9"/>
  <c r="E220" i="9" s="1"/>
  <c r="C220" i="9" s="1"/>
  <c r="A218" i="9"/>
  <c r="E218" i="9" s="1"/>
  <c r="C218" i="9" s="1"/>
  <c r="A173" i="8"/>
  <c r="E173" i="8" s="1"/>
  <c r="C173" i="8" s="1"/>
  <c r="D176" i="8"/>
  <c r="D179" i="8" s="1"/>
  <c r="A179" i="8" s="1"/>
  <c r="B173" i="8"/>
  <c r="A166" i="8"/>
  <c r="E166" i="8" s="1"/>
  <c r="C166" i="8" s="1"/>
  <c r="A170" i="8"/>
  <c r="E170" i="8" s="1"/>
  <c r="C170" i="8" s="1"/>
  <c r="D285" i="7"/>
  <c r="A280" i="7"/>
  <c r="B280" i="7"/>
  <c r="E271" i="7"/>
  <c r="C271" i="7" s="1"/>
  <c r="A274" i="7"/>
  <c r="E274" i="7" s="1"/>
  <c r="C274" i="7" s="1"/>
  <c r="A278" i="7"/>
  <c r="B278" i="7"/>
  <c r="A339" i="15"/>
  <c r="E339" i="15" s="1"/>
  <c r="C339" i="15" s="1"/>
  <c r="A349" i="15"/>
  <c r="B349" i="15"/>
  <c r="A336" i="15"/>
  <c r="E336" i="15" s="1"/>
  <c r="C336" i="15" s="1"/>
  <c r="E342" i="15"/>
  <c r="C342" i="15" s="1"/>
  <c r="B346" i="15"/>
  <c r="A346" i="15"/>
  <c r="B345" i="15"/>
  <c r="A345" i="15"/>
  <c r="D346" i="15"/>
  <c r="B340" i="15"/>
  <c r="A355" i="15"/>
  <c r="E355" i="15" s="1"/>
  <c r="C355" i="15" s="1"/>
  <c r="A340" i="15"/>
  <c r="A353" i="15"/>
  <c r="E353" i="15" s="1"/>
  <c r="C353" i="15" s="1"/>
  <c r="B179" i="8" l="1"/>
  <c r="E179" i="8" s="1"/>
  <c r="C179" i="8" s="1"/>
  <c r="E280" i="7"/>
  <c r="C280" i="7" s="1"/>
  <c r="E73" i="13"/>
  <c r="C73" i="13" s="1"/>
  <c r="D79" i="13"/>
  <c r="B76" i="13"/>
  <c r="A76" i="13"/>
  <c r="E76" i="13" s="1"/>
  <c r="C76" i="13" s="1"/>
  <c r="D108" i="12"/>
  <c r="A106" i="12"/>
  <c r="E106" i="12" s="1"/>
  <c r="B106" i="12"/>
  <c r="E196" i="11"/>
  <c r="C196" i="11" s="1"/>
  <c r="D202" i="11"/>
  <c r="A200" i="11"/>
  <c r="B200" i="11"/>
  <c r="B176" i="8"/>
  <c r="A176" i="8"/>
  <c r="E176" i="8" s="1"/>
  <c r="C176" i="8" s="1"/>
  <c r="E278" i="7"/>
  <c r="C278" i="7" s="1"/>
  <c r="D288" i="7"/>
  <c r="B285" i="7"/>
  <c r="A285" i="7"/>
  <c r="E345" i="15"/>
  <c r="C345" i="15" s="1"/>
  <c r="D82" i="13" l="1"/>
  <c r="B79" i="13"/>
  <c r="A79" i="13"/>
  <c r="E79" i="13" s="1"/>
  <c r="C79" i="13" s="1"/>
  <c r="B108" i="12"/>
  <c r="A108" i="12"/>
  <c r="D110" i="12"/>
  <c r="E200" i="11"/>
  <c r="C200" i="11" s="1"/>
  <c r="D204" i="11"/>
  <c r="D206" i="11" s="1"/>
  <c r="B202" i="11"/>
  <c r="A202" i="11"/>
  <c r="E285" i="7"/>
  <c r="C285" i="7" s="1"/>
  <c r="A288" i="7"/>
  <c r="D291" i="7"/>
  <c r="B288" i="7"/>
  <c r="B206" i="11" l="1"/>
  <c r="A206" i="11"/>
  <c r="E206" i="11" s="1"/>
  <c r="C206" i="11" s="1"/>
  <c r="E202" i="11"/>
  <c r="C202" i="11" s="1"/>
  <c r="B82" i="13"/>
  <c r="A82" i="13"/>
  <c r="D85" i="13"/>
  <c r="A110" i="12"/>
  <c r="E110" i="12" s="1"/>
  <c r="D112" i="12"/>
  <c r="B110" i="12"/>
  <c r="E108" i="12"/>
  <c r="B204" i="11"/>
  <c r="A204" i="11"/>
  <c r="B291" i="7"/>
  <c r="A291" i="7"/>
  <c r="E291" i="7" s="1"/>
  <c r="C291" i="7" s="1"/>
  <c r="E288" i="7"/>
  <c r="C288" i="7" s="1"/>
  <c r="E82" i="13" l="1"/>
  <c r="C82" i="13" s="1"/>
  <c r="B85" i="13"/>
  <c r="A85" i="13"/>
  <c r="E85" i="13" s="1"/>
  <c r="C85" i="13" s="1"/>
  <c r="D114" i="12"/>
  <c r="A112" i="12"/>
  <c r="B112" i="12"/>
  <c r="E204" i="11"/>
  <c r="C204" i="11" s="1"/>
  <c r="B114" i="12" l="1"/>
  <c r="A114" i="12"/>
  <c r="D116" i="12"/>
  <c r="E112" i="12"/>
  <c r="B116" i="12" l="1"/>
  <c r="A116" i="12"/>
  <c r="E114" i="12"/>
  <c r="E116" i="12" l="1"/>
  <c r="D62" i="13" l="1"/>
  <c r="B62" i="13" s="1"/>
  <c r="D60" i="13"/>
  <c r="B60" i="13"/>
  <c r="C63" i="13"/>
  <c r="B63" i="13"/>
  <c r="A63" i="13"/>
  <c r="C61" i="13"/>
  <c r="B61" i="13"/>
  <c r="A61" i="13"/>
  <c r="A56" i="13"/>
  <c r="B56" i="13"/>
  <c r="C56" i="13"/>
  <c r="B103" i="12"/>
  <c r="A103" i="12"/>
  <c r="B102" i="12"/>
  <c r="A102" i="12"/>
  <c r="D101" i="12"/>
  <c r="B101" i="12" s="1"/>
  <c r="C194" i="11"/>
  <c r="B194" i="11"/>
  <c r="A194" i="11"/>
  <c r="D193" i="11"/>
  <c r="B193" i="11" s="1"/>
  <c r="C192" i="11"/>
  <c r="B192" i="11"/>
  <c r="A192" i="11"/>
  <c r="D191" i="11"/>
  <c r="B191" i="11" s="1"/>
  <c r="C132" i="10"/>
  <c r="B132" i="10"/>
  <c r="A132" i="10"/>
  <c r="D131" i="10"/>
  <c r="B131" i="10" s="1"/>
  <c r="C130" i="10"/>
  <c r="B130" i="10"/>
  <c r="A130" i="10"/>
  <c r="D129" i="10"/>
  <c r="B129" i="10" s="1"/>
  <c r="C211" i="9"/>
  <c r="B211" i="9"/>
  <c r="A211" i="9"/>
  <c r="D210" i="9"/>
  <c r="A210" i="9" s="1"/>
  <c r="C209" i="9"/>
  <c r="B209" i="9"/>
  <c r="A209" i="9"/>
  <c r="D208" i="9"/>
  <c r="B208" i="9"/>
  <c r="A208" i="9"/>
  <c r="E208" i="9" s="1"/>
  <c r="C160" i="8"/>
  <c r="B160" i="8"/>
  <c r="A160" i="8"/>
  <c r="C159" i="8"/>
  <c r="B159" i="8"/>
  <c r="A159" i="8"/>
  <c r="D158" i="8"/>
  <c r="B158" i="8" s="1"/>
  <c r="C157" i="8"/>
  <c r="B157" i="8"/>
  <c r="A157" i="8"/>
  <c r="C156" i="8"/>
  <c r="B156" i="8"/>
  <c r="A156" i="8"/>
  <c r="D155" i="8"/>
  <c r="B155" i="8" s="1"/>
  <c r="A155" i="8"/>
  <c r="C154" i="8"/>
  <c r="B154" i="8"/>
  <c r="A154" i="8"/>
  <c r="C153" i="8"/>
  <c r="B153" i="8"/>
  <c r="A153" i="8"/>
  <c r="D152" i="8"/>
  <c r="B152" i="8"/>
  <c r="A152" i="8"/>
  <c r="E152" i="8" s="1"/>
  <c r="C152" i="8" s="1"/>
  <c r="C266" i="7"/>
  <c r="B266" i="7"/>
  <c r="A266" i="7"/>
  <c r="C265" i="7"/>
  <c r="B265" i="7"/>
  <c r="A265" i="7"/>
  <c r="D264" i="7"/>
  <c r="B264" i="7" s="1"/>
  <c r="C85" i="6"/>
  <c r="B85" i="6"/>
  <c r="A85" i="6"/>
  <c r="C83" i="6"/>
  <c r="B83" i="6"/>
  <c r="A83" i="6"/>
  <c r="C327" i="15"/>
  <c r="B327" i="15"/>
  <c r="A327" i="15"/>
  <c r="C325" i="15"/>
  <c r="B325" i="15"/>
  <c r="A325" i="15"/>
  <c r="C323" i="15"/>
  <c r="B323" i="15"/>
  <c r="A323" i="15"/>
  <c r="C321" i="15"/>
  <c r="B321" i="15"/>
  <c r="A321" i="15"/>
  <c r="C319" i="15"/>
  <c r="B319" i="15"/>
  <c r="A319" i="15"/>
  <c r="C317" i="15"/>
  <c r="B317" i="15"/>
  <c r="A317" i="15"/>
  <c r="C316" i="15"/>
  <c r="B316" i="15"/>
  <c r="A316" i="15"/>
  <c r="C314" i="15"/>
  <c r="B314" i="15"/>
  <c r="A314" i="15"/>
  <c r="C312" i="15"/>
  <c r="B312" i="15"/>
  <c r="A312" i="15"/>
  <c r="C310" i="15"/>
  <c r="B310" i="15"/>
  <c r="A310" i="15"/>
  <c r="C309" i="15"/>
  <c r="B309" i="15"/>
  <c r="A309" i="15"/>
  <c r="C307" i="15"/>
  <c r="B307" i="15"/>
  <c r="A307" i="15"/>
  <c r="C306" i="15"/>
  <c r="B306" i="15"/>
  <c r="A306" i="15"/>
  <c r="C304" i="15"/>
  <c r="B304" i="15"/>
  <c r="A304" i="15"/>
  <c r="C302" i="15"/>
  <c r="B302" i="15"/>
  <c r="A302" i="15"/>
  <c r="C300" i="15"/>
  <c r="B300" i="15"/>
  <c r="A300" i="15"/>
  <c r="C298" i="15"/>
  <c r="B298" i="15"/>
  <c r="A298" i="15"/>
  <c r="C296" i="15"/>
  <c r="B296" i="15"/>
  <c r="A296" i="15"/>
  <c r="C294" i="15"/>
  <c r="B294" i="15"/>
  <c r="A294" i="15"/>
  <c r="C292" i="15"/>
  <c r="B292" i="15"/>
  <c r="A292" i="15"/>
  <c r="C291" i="15"/>
  <c r="B291" i="15"/>
  <c r="A291" i="15"/>
  <c r="C289" i="15"/>
  <c r="B289" i="15"/>
  <c r="A289" i="15"/>
  <c r="C287" i="15"/>
  <c r="B287" i="15"/>
  <c r="A287" i="15"/>
  <c r="C285" i="15"/>
  <c r="B285" i="15"/>
  <c r="A285" i="15"/>
  <c r="C283" i="15"/>
  <c r="B283" i="15"/>
  <c r="A283" i="15"/>
  <c r="C281" i="15"/>
  <c r="B281" i="15"/>
  <c r="A281" i="15"/>
  <c r="D280" i="15"/>
  <c r="D282" i="15" s="1"/>
  <c r="C279" i="15"/>
  <c r="B279" i="15"/>
  <c r="A279" i="15"/>
  <c r="B278" i="15"/>
  <c r="A278" i="15"/>
  <c r="C277" i="15"/>
  <c r="B277" i="15"/>
  <c r="A277" i="15"/>
  <c r="C276" i="15"/>
  <c r="B276" i="15"/>
  <c r="A276" i="15"/>
  <c r="C274" i="15"/>
  <c r="B274" i="15"/>
  <c r="A274" i="15"/>
  <c r="C272" i="15"/>
  <c r="B272" i="15"/>
  <c r="A272" i="15"/>
  <c r="D271" i="15"/>
  <c r="D273" i="15" s="1"/>
  <c r="C270" i="15"/>
  <c r="B270" i="15"/>
  <c r="A270" i="15"/>
  <c r="C269" i="15"/>
  <c r="B269" i="15"/>
  <c r="A269" i="15"/>
  <c r="D268" i="15"/>
  <c r="A268" i="15" s="1"/>
  <c r="C267" i="15"/>
  <c r="B267" i="15"/>
  <c r="A267" i="15"/>
  <c r="D266" i="15"/>
  <c r="A266" i="15" s="1"/>
  <c r="C265" i="15"/>
  <c r="B265" i="15"/>
  <c r="A265" i="15"/>
  <c r="C264" i="15"/>
  <c r="B264" i="15"/>
  <c r="A264" i="15"/>
  <c r="D263" i="15"/>
  <c r="B263" i="15" s="1"/>
  <c r="C262" i="15"/>
  <c r="B262" i="15"/>
  <c r="A262" i="15"/>
  <c r="D261" i="15"/>
  <c r="A261" i="15" s="1"/>
  <c r="C260" i="15"/>
  <c r="B260" i="15"/>
  <c r="A260" i="15"/>
  <c r="D259" i="15"/>
  <c r="B259" i="15" s="1"/>
  <c r="C258" i="15"/>
  <c r="B258" i="15"/>
  <c r="A258" i="15"/>
  <c r="D257" i="15"/>
  <c r="A257" i="15" s="1"/>
  <c r="C256" i="15"/>
  <c r="B256" i="15"/>
  <c r="A256" i="15"/>
  <c r="D255" i="15"/>
  <c r="B255" i="15" s="1"/>
  <c r="C254" i="15"/>
  <c r="B254" i="15"/>
  <c r="A254" i="15"/>
  <c r="D253" i="15"/>
  <c r="B253" i="15" s="1"/>
  <c r="C252" i="15"/>
  <c r="B252" i="15"/>
  <c r="A252" i="15"/>
  <c r="D251" i="15"/>
  <c r="B251" i="15" s="1"/>
  <c r="C250" i="15"/>
  <c r="B250" i="15"/>
  <c r="A250" i="15"/>
  <c r="D249" i="15"/>
  <c r="A249" i="15" s="1"/>
  <c r="C248" i="15"/>
  <c r="B248" i="15"/>
  <c r="A248" i="15"/>
  <c r="D247" i="15"/>
  <c r="B247" i="15" s="1"/>
  <c r="C246" i="15"/>
  <c r="B246" i="15"/>
  <c r="A246" i="15"/>
  <c r="D245" i="15"/>
  <c r="A245" i="15" s="1"/>
  <c r="C244" i="15"/>
  <c r="B244" i="15"/>
  <c r="A244" i="15"/>
  <c r="D243" i="15"/>
  <c r="B243" i="15" s="1"/>
  <c r="C242" i="15"/>
  <c r="B242" i="15"/>
  <c r="A242" i="15"/>
  <c r="D241" i="15"/>
  <c r="B241" i="15" s="1"/>
  <c r="C240" i="15"/>
  <c r="B240" i="15"/>
  <c r="A240" i="15"/>
  <c r="D239" i="15"/>
  <c r="B239" i="15" s="1"/>
  <c r="C238" i="15"/>
  <c r="B238" i="15"/>
  <c r="A238" i="15"/>
  <c r="C237" i="15"/>
  <c r="B237" i="15"/>
  <c r="A237" i="15"/>
  <c r="D236" i="15"/>
  <c r="B236" i="15" s="1"/>
  <c r="C235" i="15"/>
  <c r="B235" i="15"/>
  <c r="A235" i="15"/>
  <c r="D234" i="15"/>
  <c r="B234" i="15" s="1"/>
  <c r="C233" i="15"/>
  <c r="B233" i="15"/>
  <c r="A233" i="15"/>
  <c r="D232" i="15"/>
  <c r="B232" i="15" s="1"/>
  <c r="C231" i="15"/>
  <c r="B231" i="15"/>
  <c r="A231" i="15"/>
  <c r="D230" i="15"/>
  <c r="C229" i="15"/>
  <c r="B229" i="15"/>
  <c r="A229" i="15"/>
  <c r="D228" i="15"/>
  <c r="A228" i="15" s="1"/>
  <c r="C227" i="15"/>
  <c r="B227" i="15"/>
  <c r="A227" i="15"/>
  <c r="D226" i="15"/>
  <c r="B226" i="15" s="1"/>
  <c r="C225" i="15"/>
  <c r="B225" i="15"/>
  <c r="A225" i="15"/>
  <c r="D223" i="15"/>
  <c r="A223" i="15" s="1"/>
  <c r="C223" i="15"/>
  <c r="B223" i="15"/>
  <c r="C222" i="15"/>
  <c r="B222" i="15"/>
  <c r="A222" i="15"/>
  <c r="D221" i="15"/>
  <c r="B221" i="15" s="1"/>
  <c r="C220" i="15"/>
  <c r="B220" i="15"/>
  <c r="A220" i="15"/>
  <c r="D219" i="15"/>
  <c r="A219" i="15" s="1"/>
  <c r="C218" i="15"/>
  <c r="B218" i="15"/>
  <c r="A218" i="15"/>
  <c r="D217" i="15"/>
  <c r="B217" i="15" s="1"/>
  <c r="C216" i="15"/>
  <c r="B216" i="15"/>
  <c r="A216" i="15"/>
  <c r="D215" i="15"/>
  <c r="B215" i="15" s="1"/>
  <c r="C214" i="15"/>
  <c r="B214" i="15"/>
  <c r="A214" i="15"/>
  <c r="D213" i="15"/>
  <c r="A213" i="15" s="1"/>
  <c r="C212" i="15"/>
  <c r="B212" i="15"/>
  <c r="A212" i="15"/>
  <c r="D211" i="15"/>
  <c r="B211" i="15" s="1"/>
  <c r="C210" i="15"/>
  <c r="B210" i="15"/>
  <c r="A210" i="15"/>
  <c r="D209" i="15"/>
  <c r="C208" i="15"/>
  <c r="B208" i="15"/>
  <c r="A208" i="15"/>
  <c r="D207" i="15"/>
  <c r="A207" i="15" s="1"/>
  <c r="C206" i="15"/>
  <c r="B206" i="15"/>
  <c r="A206" i="15"/>
  <c r="C205" i="15"/>
  <c r="B205" i="15"/>
  <c r="A205" i="15"/>
  <c r="D204" i="15"/>
  <c r="C203" i="15"/>
  <c r="B203" i="15"/>
  <c r="A203" i="15"/>
  <c r="D202" i="15"/>
  <c r="A202" i="15" s="1"/>
  <c r="C201" i="15"/>
  <c r="B201" i="15"/>
  <c r="A201" i="15"/>
  <c r="C200" i="15"/>
  <c r="B200" i="15"/>
  <c r="A200" i="15"/>
  <c r="D199" i="15"/>
  <c r="C198" i="15"/>
  <c r="B198" i="15"/>
  <c r="A198" i="15"/>
  <c r="D197" i="15"/>
  <c r="B197" i="15" s="1"/>
  <c r="C196" i="15"/>
  <c r="B196" i="15"/>
  <c r="A196" i="15"/>
  <c r="D195" i="15"/>
  <c r="A195" i="15" s="1"/>
  <c r="C194" i="15"/>
  <c r="B194" i="15"/>
  <c r="A194" i="15"/>
  <c r="D193" i="15"/>
  <c r="C192" i="15"/>
  <c r="B192" i="15"/>
  <c r="A192" i="15"/>
  <c r="D191" i="15"/>
  <c r="B191" i="15" s="1"/>
  <c r="C190" i="15"/>
  <c r="B190" i="15"/>
  <c r="A190" i="15"/>
  <c r="D189" i="15"/>
  <c r="B189" i="15" s="1"/>
  <c r="C188" i="15"/>
  <c r="B188" i="15"/>
  <c r="A188" i="15"/>
  <c r="D187" i="15"/>
  <c r="A187" i="15" s="1"/>
  <c r="B187" i="15"/>
  <c r="C186" i="15"/>
  <c r="B186" i="15"/>
  <c r="A186" i="15"/>
  <c r="D185" i="15"/>
  <c r="C184" i="15"/>
  <c r="B184" i="15"/>
  <c r="A184" i="15"/>
  <c r="C183" i="15"/>
  <c r="B183" i="15"/>
  <c r="A183" i="15"/>
  <c r="D182" i="15"/>
  <c r="A182" i="15" s="1"/>
  <c r="C181" i="15"/>
  <c r="B181" i="15"/>
  <c r="A181" i="15"/>
  <c r="C180" i="15"/>
  <c r="B180" i="15"/>
  <c r="A180" i="15"/>
  <c r="D179" i="15"/>
  <c r="B179" i="15" s="1"/>
  <c r="C178" i="15"/>
  <c r="B178" i="15"/>
  <c r="A178" i="15"/>
  <c r="D177" i="15"/>
  <c r="A177" i="15" s="1"/>
  <c r="C176" i="15"/>
  <c r="B176" i="15"/>
  <c r="A176" i="15"/>
  <c r="C175" i="15"/>
  <c r="B175" i="15"/>
  <c r="A175" i="15"/>
  <c r="D174" i="15"/>
  <c r="B174" i="15" s="1"/>
  <c r="C173" i="15"/>
  <c r="B173" i="15"/>
  <c r="A173" i="15"/>
  <c r="D172" i="15"/>
  <c r="A172" i="15" s="1"/>
  <c r="C171" i="15"/>
  <c r="B171" i="15"/>
  <c r="A171" i="15"/>
  <c r="D170" i="15"/>
  <c r="C169" i="15"/>
  <c r="B169" i="15"/>
  <c r="A169" i="15"/>
  <c r="C168" i="15"/>
  <c r="D167" i="15"/>
  <c r="A167" i="15" s="1"/>
  <c r="C166" i="15"/>
  <c r="B166" i="15"/>
  <c r="A166" i="15"/>
  <c r="D165" i="15"/>
  <c r="A165" i="15" s="1"/>
  <c r="C164" i="15"/>
  <c r="B164" i="15"/>
  <c r="A164" i="15"/>
  <c r="D163" i="15"/>
  <c r="A163" i="15" s="1"/>
  <c r="C162" i="15"/>
  <c r="B162" i="15"/>
  <c r="A162" i="15"/>
  <c r="D161" i="15"/>
  <c r="B161" i="15" s="1"/>
  <c r="C160" i="15"/>
  <c r="B160" i="15"/>
  <c r="A160" i="15"/>
  <c r="D159" i="15"/>
  <c r="C158" i="15"/>
  <c r="B158" i="15"/>
  <c r="A158" i="15"/>
  <c r="D157" i="15"/>
  <c r="B157" i="15" s="1"/>
  <c r="C156" i="15"/>
  <c r="B156" i="15"/>
  <c r="A156" i="15"/>
  <c r="C155" i="15"/>
  <c r="B155" i="15"/>
  <c r="A155" i="15"/>
  <c r="D154" i="15"/>
  <c r="C153" i="15"/>
  <c r="B153" i="15"/>
  <c r="A153" i="15"/>
  <c r="C152" i="15"/>
  <c r="B152" i="15"/>
  <c r="A152" i="15"/>
  <c r="D151" i="15"/>
  <c r="B151" i="15" s="1"/>
  <c r="C150" i="15"/>
  <c r="B150" i="15"/>
  <c r="A150" i="15"/>
  <c r="D149" i="15"/>
  <c r="C148" i="15"/>
  <c r="B148" i="15"/>
  <c r="A148" i="15"/>
  <c r="D147" i="15"/>
  <c r="A147" i="15" s="1"/>
  <c r="C146" i="15"/>
  <c r="B146" i="15"/>
  <c r="A146" i="15"/>
  <c r="D145" i="15"/>
  <c r="B145" i="15" s="1"/>
  <c r="C144" i="15"/>
  <c r="B144" i="15"/>
  <c r="A144" i="15"/>
  <c r="D143" i="15"/>
  <c r="B143" i="15" s="1"/>
  <c r="C142" i="15"/>
  <c r="B142" i="15"/>
  <c r="A142" i="15"/>
  <c r="B141" i="15"/>
  <c r="A141" i="15"/>
  <c r="C140" i="15"/>
  <c r="B140" i="15"/>
  <c r="A140" i="15"/>
  <c r="D139" i="15"/>
  <c r="C138" i="15"/>
  <c r="B138" i="15"/>
  <c r="A138" i="15"/>
  <c r="C136" i="15"/>
  <c r="B136" i="15"/>
  <c r="A136" i="15"/>
  <c r="C135" i="15"/>
  <c r="B135" i="15"/>
  <c r="A135" i="15"/>
  <c r="D134" i="15"/>
  <c r="B134" i="15" s="1"/>
  <c r="C133" i="15"/>
  <c r="B133" i="15"/>
  <c r="A133" i="15"/>
  <c r="B132" i="15"/>
  <c r="A132" i="15"/>
  <c r="C131" i="15"/>
  <c r="B131" i="15"/>
  <c r="A131" i="15"/>
  <c r="B130" i="15"/>
  <c r="A130" i="15"/>
  <c r="C129" i="15"/>
  <c r="B129" i="15"/>
  <c r="A129" i="15"/>
  <c r="B128" i="15"/>
  <c r="A128" i="15"/>
  <c r="C127" i="15"/>
  <c r="B127" i="15"/>
  <c r="A127" i="15"/>
  <c r="B126" i="15"/>
  <c r="A126" i="15"/>
  <c r="C125" i="15"/>
  <c r="B125" i="15"/>
  <c r="A125" i="15"/>
  <c r="B124" i="15"/>
  <c r="A124" i="15"/>
  <c r="C123" i="15"/>
  <c r="B123" i="15"/>
  <c r="A123" i="15"/>
  <c r="B122" i="15"/>
  <c r="A122" i="15"/>
  <c r="C121" i="15"/>
  <c r="B121" i="15"/>
  <c r="A121" i="15"/>
  <c r="B120" i="15"/>
  <c r="A120" i="15"/>
  <c r="C119" i="15"/>
  <c r="B119" i="15"/>
  <c r="A119" i="15"/>
  <c r="C118" i="15"/>
  <c r="B118" i="15"/>
  <c r="A118" i="15"/>
  <c r="C117" i="15"/>
  <c r="B117" i="15"/>
  <c r="A117" i="15"/>
  <c r="B116" i="15"/>
  <c r="A116" i="15"/>
  <c r="C115" i="15"/>
  <c r="B115" i="15"/>
  <c r="A115" i="15"/>
  <c r="B114" i="15"/>
  <c r="A114" i="15"/>
  <c r="C113" i="15"/>
  <c r="B113" i="15"/>
  <c r="A113" i="15"/>
  <c r="F112" i="15"/>
  <c r="C112" i="15"/>
  <c r="B112" i="15"/>
  <c r="A112" i="15"/>
  <c r="C110" i="15"/>
  <c r="B110" i="15"/>
  <c r="A110" i="15"/>
  <c r="C108" i="15"/>
  <c r="B108" i="15"/>
  <c r="A108" i="15"/>
  <c r="D107" i="15"/>
  <c r="D109" i="15" s="1"/>
  <c r="A109" i="15" s="1"/>
  <c r="C106" i="15"/>
  <c r="B106" i="15"/>
  <c r="A106" i="15"/>
  <c r="C105" i="15"/>
  <c r="B105" i="15"/>
  <c r="A105" i="15"/>
  <c r="C104" i="15"/>
  <c r="B104" i="15"/>
  <c r="A104" i="15"/>
  <c r="C102" i="15"/>
  <c r="B102" i="15"/>
  <c r="A102" i="15"/>
  <c r="C100" i="15"/>
  <c r="B100" i="15"/>
  <c r="A100" i="15"/>
  <c r="C98" i="15"/>
  <c r="B98" i="15"/>
  <c r="A98" i="15"/>
  <c r="C96" i="15"/>
  <c r="B96" i="15"/>
  <c r="A96" i="15"/>
  <c r="C94" i="15"/>
  <c r="B94" i="15"/>
  <c r="A94" i="15"/>
  <c r="C92" i="15"/>
  <c r="B92" i="15"/>
  <c r="A92" i="15"/>
  <c r="C90" i="15"/>
  <c r="B90" i="15"/>
  <c r="A90" i="15"/>
  <c r="D89" i="15"/>
  <c r="A89" i="15" s="1"/>
  <c r="C88" i="15"/>
  <c r="B88" i="15"/>
  <c r="A88" i="15"/>
  <c r="B87" i="15"/>
  <c r="A87" i="15"/>
  <c r="E87" i="15" s="1"/>
  <c r="C87" i="15" s="1"/>
  <c r="C86" i="15"/>
  <c r="B86" i="15"/>
  <c r="A86" i="15"/>
  <c r="C84" i="15"/>
  <c r="B84" i="15"/>
  <c r="A84" i="15"/>
  <c r="C82" i="15"/>
  <c r="B82" i="15"/>
  <c r="A82" i="15"/>
  <c r="C80" i="15"/>
  <c r="B80" i="15"/>
  <c r="A80" i="15"/>
  <c r="C78" i="15"/>
  <c r="B78" i="15"/>
  <c r="A78" i="15"/>
  <c r="C76" i="15"/>
  <c r="B76" i="15"/>
  <c r="A76" i="15"/>
  <c r="C74" i="15"/>
  <c r="B74" i="15"/>
  <c r="A74" i="15"/>
  <c r="C72" i="15"/>
  <c r="B72" i="15"/>
  <c r="A72" i="15"/>
  <c r="C70" i="15"/>
  <c r="B70" i="15"/>
  <c r="A70" i="15"/>
  <c r="C68" i="15"/>
  <c r="B68" i="15"/>
  <c r="A68" i="15"/>
  <c r="C66" i="15"/>
  <c r="B66" i="15"/>
  <c r="A66" i="15"/>
  <c r="D65" i="15"/>
  <c r="A65" i="15" s="1"/>
  <c r="C64" i="15"/>
  <c r="B64" i="15"/>
  <c r="A64" i="15"/>
  <c r="B63" i="15"/>
  <c r="A63" i="15"/>
  <c r="C62" i="15"/>
  <c r="B62" i="15"/>
  <c r="A62" i="15"/>
  <c r="C61" i="15"/>
  <c r="B61" i="15"/>
  <c r="A61" i="15"/>
  <c r="C59" i="15"/>
  <c r="B59" i="15"/>
  <c r="A59" i="15"/>
  <c r="C57" i="15"/>
  <c r="B57" i="15"/>
  <c r="A57" i="15"/>
  <c r="C55" i="15"/>
  <c r="B55" i="15"/>
  <c r="A55" i="15"/>
  <c r="C53" i="15"/>
  <c r="B53" i="15"/>
  <c r="A53" i="15"/>
  <c r="C51" i="15"/>
  <c r="B51" i="15"/>
  <c r="A51" i="15"/>
  <c r="C49" i="15"/>
  <c r="B49" i="15"/>
  <c r="A49" i="15"/>
  <c r="C47" i="15"/>
  <c r="B47" i="15"/>
  <c r="A47" i="15"/>
  <c r="C45" i="15"/>
  <c r="B45" i="15"/>
  <c r="A45" i="15"/>
  <c r="D44" i="15"/>
  <c r="A44" i="15" s="1"/>
  <c r="C43" i="15"/>
  <c r="B43" i="15"/>
  <c r="A43" i="15"/>
  <c r="B42" i="15"/>
  <c r="A42" i="15"/>
  <c r="C41" i="15"/>
  <c r="B41" i="15"/>
  <c r="A41" i="15"/>
  <c r="C40" i="15"/>
  <c r="B40" i="15"/>
  <c r="A40" i="15"/>
  <c r="C39" i="15"/>
  <c r="B39" i="15"/>
  <c r="A39" i="15"/>
  <c r="C38" i="15"/>
  <c r="B38" i="15"/>
  <c r="A38" i="15"/>
  <c r="B37" i="15"/>
  <c r="A37" i="15"/>
  <c r="C36" i="15"/>
  <c r="B36" i="15"/>
  <c r="A36" i="15"/>
  <c r="B35" i="15"/>
  <c r="A35" i="15"/>
  <c r="C34" i="15"/>
  <c r="B34" i="15"/>
  <c r="A34" i="15"/>
  <c r="B33" i="15"/>
  <c r="A33" i="15"/>
  <c r="C32" i="15"/>
  <c r="B32" i="15"/>
  <c r="A32" i="15"/>
  <c r="B31" i="15"/>
  <c r="A31" i="15"/>
  <c r="E31" i="15" s="1"/>
  <c r="C31" i="15" s="1"/>
  <c r="C30" i="15"/>
  <c r="B30" i="15"/>
  <c r="A30" i="15"/>
  <c r="C29" i="15"/>
  <c r="B29" i="15"/>
  <c r="A29" i="15"/>
  <c r="C28" i="15"/>
  <c r="B28" i="15"/>
  <c r="A28" i="15"/>
  <c r="B27" i="15"/>
  <c r="A27" i="15"/>
  <c r="E27" i="15" s="1"/>
  <c r="C27" i="15" s="1"/>
  <c r="C26" i="15"/>
  <c r="B26" i="15"/>
  <c r="A26" i="15"/>
  <c r="B25" i="15"/>
  <c r="A25" i="15"/>
  <c r="C24" i="15"/>
  <c r="B24" i="15"/>
  <c r="A24" i="15"/>
  <c r="B23" i="15"/>
  <c r="A23" i="15"/>
  <c r="C22" i="15"/>
  <c r="B22" i="15"/>
  <c r="A22" i="15"/>
  <c r="B21" i="15"/>
  <c r="A21" i="15"/>
  <c r="C20" i="15"/>
  <c r="B20" i="15"/>
  <c r="A20" i="15"/>
  <c r="C19" i="15"/>
  <c r="B19" i="15"/>
  <c r="A19" i="15"/>
  <c r="B18" i="15"/>
  <c r="A18" i="15"/>
  <c r="C17" i="15"/>
  <c r="B17" i="15"/>
  <c r="A17" i="15"/>
  <c r="B16" i="15"/>
  <c r="A16" i="15"/>
  <c r="C15" i="15"/>
  <c r="B15" i="15"/>
  <c r="A15" i="15"/>
  <c r="C14" i="15"/>
  <c r="B14" i="15"/>
  <c r="A14" i="15"/>
  <c r="C13" i="15"/>
  <c r="B13" i="15"/>
  <c r="A13" i="15"/>
  <c r="C12" i="15"/>
  <c r="B12" i="15"/>
  <c r="A12" i="15"/>
  <c r="C11" i="15"/>
  <c r="B11" i="15"/>
  <c r="A11" i="15"/>
  <c r="C10" i="15"/>
  <c r="B10" i="15"/>
  <c r="A10" i="15"/>
  <c r="C9" i="15"/>
  <c r="B9" i="15"/>
  <c r="A9" i="15"/>
  <c r="C8" i="15"/>
  <c r="B8" i="15"/>
  <c r="A8" i="15"/>
  <c r="H7" i="15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H54" i="15" s="1"/>
  <c r="H55" i="15" s="1"/>
  <c r="H56" i="15" s="1"/>
  <c r="H57" i="15" s="1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H83" i="15" s="1"/>
  <c r="H84" i="15" s="1"/>
  <c r="H85" i="15" s="1"/>
  <c r="H86" i="15" s="1"/>
  <c r="H87" i="15" s="1"/>
  <c r="H88" i="15" s="1"/>
  <c r="H89" i="15" s="1"/>
  <c r="H90" i="15" s="1"/>
  <c r="H91" i="15" s="1"/>
  <c r="H92" i="15" s="1"/>
  <c r="H93" i="15" s="1"/>
  <c r="H94" i="15" s="1"/>
  <c r="H95" i="15" s="1"/>
  <c r="H96" i="15" s="1"/>
  <c r="H97" i="15" s="1"/>
  <c r="H98" i="15" s="1"/>
  <c r="H99" i="15" s="1"/>
  <c r="H100" i="15" s="1"/>
  <c r="H101" i="15" s="1"/>
  <c r="H102" i="15" s="1"/>
  <c r="H103" i="15" s="1"/>
  <c r="H104" i="15" s="1"/>
  <c r="H105" i="15" s="1"/>
  <c r="H106" i="15" s="1"/>
  <c r="H107" i="15" s="1"/>
  <c r="H108" i="15" s="1"/>
  <c r="H109" i="15" s="1"/>
  <c r="H110" i="15" s="1"/>
  <c r="H111" i="15" s="1"/>
  <c r="C7" i="15"/>
  <c r="B7" i="15"/>
  <c r="A7" i="15"/>
  <c r="A193" i="11" l="1"/>
  <c r="E193" i="11" s="1"/>
  <c r="C193" i="11" s="1"/>
  <c r="A131" i="10"/>
  <c r="E131" i="10" s="1"/>
  <c r="C131" i="10" s="1"/>
  <c r="B210" i="9"/>
  <c r="E210" i="9" s="1"/>
  <c r="C210" i="9" s="1"/>
  <c r="E84" i="6"/>
  <c r="E63" i="15"/>
  <c r="C63" i="15" s="1"/>
  <c r="B89" i="15"/>
  <c r="A143" i="15"/>
  <c r="E143" i="15" s="1"/>
  <c r="C143" i="15" s="1"/>
  <c r="E37" i="15"/>
  <c r="C37" i="15" s="1"/>
  <c r="E114" i="15"/>
  <c r="C114" i="15" s="1"/>
  <c r="E120" i="15"/>
  <c r="C120" i="15" s="1"/>
  <c r="E130" i="15"/>
  <c r="C130" i="15" s="1"/>
  <c r="B165" i="15"/>
  <c r="E165" i="15" s="1"/>
  <c r="C165" i="15" s="1"/>
  <c r="A191" i="15"/>
  <c r="B202" i="15"/>
  <c r="E23" i="15"/>
  <c r="C23" i="15" s="1"/>
  <c r="E126" i="15"/>
  <c r="C126" i="15" s="1"/>
  <c r="E132" i="15"/>
  <c r="C132" i="15" s="1"/>
  <c r="E21" i="15"/>
  <c r="C21" i="15" s="1"/>
  <c r="B163" i="15"/>
  <c r="D168" i="15"/>
  <c r="B168" i="15" s="1"/>
  <c r="B195" i="15"/>
  <c r="B228" i="15"/>
  <c r="E228" i="15" s="1"/>
  <c r="C228" i="15" s="1"/>
  <c r="E128" i="15"/>
  <c r="C128" i="15" s="1"/>
  <c r="B268" i="15"/>
  <c r="E268" i="15" s="1"/>
  <c r="C268" i="15" s="1"/>
  <c r="E195" i="15"/>
  <c r="C195" i="15" s="1"/>
  <c r="E35" i="15"/>
  <c r="C35" i="15" s="1"/>
  <c r="A134" i="15"/>
  <c r="E134" i="15" s="1"/>
  <c r="C134" i="15" s="1"/>
  <c r="A151" i="15"/>
  <c r="E151" i="15" s="1"/>
  <c r="C151" i="15" s="1"/>
  <c r="A215" i="15"/>
  <c r="A221" i="15"/>
  <c r="A232" i="15"/>
  <c r="B249" i="15"/>
  <c r="E249" i="15" s="1"/>
  <c r="C249" i="15" s="1"/>
  <c r="E25" i="15"/>
  <c r="C25" i="15" s="1"/>
  <c r="B147" i="15"/>
  <c r="A157" i="15"/>
  <c r="E157" i="15" s="1"/>
  <c r="C157" i="15" s="1"/>
  <c r="B261" i="15"/>
  <c r="E261" i="15" s="1"/>
  <c r="C261" i="15" s="1"/>
  <c r="B266" i="15"/>
  <c r="E266" i="15" s="1"/>
  <c r="C266" i="15" s="1"/>
  <c r="E124" i="15"/>
  <c r="C124" i="15" s="1"/>
  <c r="E141" i="15"/>
  <c r="C141" i="15" s="1"/>
  <c r="B207" i="15"/>
  <c r="E207" i="15" s="1"/>
  <c r="C207" i="15" s="1"/>
  <c r="A217" i="15"/>
  <c r="B257" i="15"/>
  <c r="E257" i="15" s="1"/>
  <c r="C257" i="15" s="1"/>
  <c r="A107" i="15"/>
  <c r="A161" i="15"/>
  <c r="E161" i="15" s="1"/>
  <c r="C161" i="15" s="1"/>
  <c r="B213" i="15"/>
  <c r="E213" i="15" s="1"/>
  <c r="C213" i="15" s="1"/>
  <c r="E232" i="15"/>
  <c r="C232" i="15" s="1"/>
  <c r="A247" i="15"/>
  <c r="E247" i="15" s="1"/>
  <c r="C247" i="15" s="1"/>
  <c r="D67" i="15"/>
  <c r="B107" i="15"/>
  <c r="D137" i="15"/>
  <c r="A243" i="15"/>
  <c r="E243" i="15" s="1"/>
  <c r="C243" i="15" s="1"/>
  <c r="E278" i="15"/>
  <c r="C278" i="15" s="1"/>
  <c r="E191" i="15"/>
  <c r="C191" i="15" s="1"/>
  <c r="A259" i="15"/>
  <c r="E259" i="15" s="1"/>
  <c r="C259" i="15" s="1"/>
  <c r="E122" i="15"/>
  <c r="C122" i="15" s="1"/>
  <c r="B167" i="15"/>
  <c r="E167" i="15" s="1"/>
  <c r="C167" i="15" s="1"/>
  <c r="B219" i="15"/>
  <c r="E219" i="15" s="1"/>
  <c r="C219" i="15" s="1"/>
  <c r="E147" i="15"/>
  <c r="C147" i="15" s="1"/>
  <c r="E16" i="15"/>
  <c r="C16" i="15" s="1"/>
  <c r="H112" i="15"/>
  <c r="H113" i="15" s="1"/>
  <c r="H114" i="15" s="1"/>
  <c r="H115" i="15" s="1"/>
  <c r="H116" i="15" s="1"/>
  <c r="H117" i="15" s="1"/>
  <c r="H118" i="15" s="1"/>
  <c r="H119" i="15" s="1"/>
  <c r="H120" i="15" s="1"/>
  <c r="H121" i="15" s="1"/>
  <c r="H122" i="15" s="1"/>
  <c r="H123" i="15" s="1"/>
  <c r="H124" i="15" s="1"/>
  <c r="H125" i="15" s="1"/>
  <c r="H126" i="15" s="1"/>
  <c r="H127" i="15" s="1"/>
  <c r="H128" i="15" s="1"/>
  <c r="H129" i="15" s="1"/>
  <c r="H130" i="15" s="1"/>
  <c r="H131" i="15" s="1"/>
  <c r="H132" i="15" s="1"/>
  <c r="H133" i="15" s="1"/>
  <c r="H134" i="15" s="1"/>
  <c r="H135" i="15" s="1"/>
  <c r="H136" i="15" s="1"/>
  <c r="H137" i="15" s="1"/>
  <c r="H138" i="15" s="1"/>
  <c r="H139" i="15" s="1"/>
  <c r="H140" i="15" s="1"/>
  <c r="H141" i="15" s="1"/>
  <c r="H142" i="15" s="1"/>
  <c r="H143" i="15" s="1"/>
  <c r="H144" i="15" s="1"/>
  <c r="H145" i="15" s="1"/>
  <c r="H146" i="15" s="1"/>
  <c r="H147" i="15" s="1"/>
  <c r="H148" i="15" s="1"/>
  <c r="H149" i="15" s="1"/>
  <c r="H150" i="15" s="1"/>
  <c r="H151" i="15" s="1"/>
  <c r="H152" i="15" s="1"/>
  <c r="H153" i="15" s="1"/>
  <c r="H154" i="15" s="1"/>
  <c r="H155" i="15" s="1"/>
  <c r="H156" i="15" s="1"/>
  <c r="H157" i="15" s="1"/>
  <c r="H158" i="15" s="1"/>
  <c r="H159" i="15" s="1"/>
  <c r="H160" i="15" s="1"/>
  <c r="H161" i="15" s="1"/>
  <c r="H162" i="15" s="1"/>
  <c r="H163" i="15" s="1"/>
  <c r="H164" i="15" s="1"/>
  <c r="H165" i="15" s="1"/>
  <c r="H166" i="15" s="1"/>
  <c r="H167" i="15" s="1"/>
  <c r="H169" i="15" s="1"/>
  <c r="H170" i="15" s="1"/>
  <c r="H171" i="15" s="1"/>
  <c r="H172" i="15" s="1"/>
  <c r="H173" i="15" s="1"/>
  <c r="H174" i="15" s="1"/>
  <c r="H175" i="15" s="1"/>
  <c r="H176" i="15" s="1"/>
  <c r="H177" i="15" s="1"/>
  <c r="H178" i="15" s="1"/>
  <c r="H179" i="15" s="1"/>
  <c r="H180" i="15" s="1"/>
  <c r="H181" i="15" s="1"/>
  <c r="H182" i="15" s="1"/>
  <c r="H183" i="15" s="1"/>
  <c r="H184" i="15" s="1"/>
  <c r="H185" i="15" s="1"/>
  <c r="H186" i="15" s="1"/>
  <c r="H187" i="15" s="1"/>
  <c r="H188" i="15" s="1"/>
  <c r="H189" i="15" s="1"/>
  <c r="H190" i="15" s="1"/>
  <c r="H191" i="15" s="1"/>
  <c r="H192" i="15" s="1"/>
  <c r="H193" i="15" s="1"/>
  <c r="H194" i="15" s="1"/>
  <c r="H195" i="15" s="1"/>
  <c r="H196" i="15" s="1"/>
  <c r="H197" i="15" s="1"/>
  <c r="H198" i="15" s="1"/>
  <c r="H199" i="15" s="1"/>
  <c r="H200" i="15" s="1"/>
  <c r="H201" i="15" s="1"/>
  <c r="H202" i="15" s="1"/>
  <c r="H203" i="15" s="1"/>
  <c r="H204" i="15" s="1"/>
  <c r="H205" i="15" s="1"/>
  <c r="H206" i="15" s="1"/>
  <c r="H207" i="15" s="1"/>
  <c r="H208" i="15" s="1"/>
  <c r="H209" i="15" s="1"/>
  <c r="H210" i="15" s="1"/>
  <c r="H211" i="15" s="1"/>
  <c r="H212" i="15" s="1"/>
  <c r="H213" i="15" s="1"/>
  <c r="H214" i="15" s="1"/>
  <c r="H215" i="15" s="1"/>
  <c r="H216" i="15" s="1"/>
  <c r="H217" i="15" s="1"/>
  <c r="H218" i="15" s="1"/>
  <c r="H219" i="15" s="1"/>
  <c r="H220" i="15" s="1"/>
  <c r="H221" i="15" s="1"/>
  <c r="H222" i="15" s="1"/>
  <c r="H223" i="15" s="1"/>
  <c r="H224" i="15" s="1"/>
  <c r="H225" i="15" s="1"/>
  <c r="H226" i="15" s="1"/>
  <c r="H227" i="15" s="1"/>
  <c r="H228" i="15" s="1"/>
  <c r="H229" i="15" s="1"/>
  <c r="H230" i="15" s="1"/>
  <c r="H231" i="15" s="1"/>
  <c r="H232" i="15" s="1"/>
  <c r="H233" i="15" s="1"/>
  <c r="H234" i="15" s="1"/>
  <c r="H235" i="15" s="1"/>
  <c r="H236" i="15" s="1"/>
  <c r="H237" i="15" s="1"/>
  <c r="H238" i="15" s="1"/>
  <c r="H239" i="15" s="1"/>
  <c r="H240" i="15" s="1"/>
  <c r="H241" i="15" s="1"/>
  <c r="H242" i="15" s="1"/>
  <c r="H243" i="15" s="1"/>
  <c r="H244" i="15" s="1"/>
  <c r="H245" i="15" s="1"/>
  <c r="H246" i="15" s="1"/>
  <c r="H247" i="15" s="1"/>
  <c r="H248" i="15" s="1"/>
  <c r="H249" i="15" s="1"/>
  <c r="H250" i="15" s="1"/>
  <c r="H251" i="15" s="1"/>
  <c r="H252" i="15" s="1"/>
  <c r="H253" i="15" s="1"/>
  <c r="H254" i="15" s="1"/>
  <c r="H255" i="15" s="1"/>
  <c r="H256" i="15" s="1"/>
  <c r="H257" i="15" s="1"/>
  <c r="H258" i="15" s="1"/>
  <c r="H259" i="15" s="1"/>
  <c r="H260" i="15" s="1"/>
  <c r="H261" i="15" s="1"/>
  <c r="H262" i="15" s="1"/>
  <c r="H263" i="15" s="1"/>
  <c r="H264" i="15" s="1"/>
  <c r="H265" i="15" s="1"/>
  <c r="H266" i="15" s="1"/>
  <c r="H267" i="15" s="1"/>
  <c r="H268" i="15" s="1"/>
  <c r="H269" i="15" s="1"/>
  <c r="H270" i="15" s="1"/>
  <c r="H271" i="15" s="1"/>
  <c r="H272" i="15" s="1"/>
  <c r="H273" i="15" s="1"/>
  <c r="H274" i="15" s="1"/>
  <c r="H275" i="15" s="1"/>
  <c r="H276" i="15" s="1"/>
  <c r="H277" i="15" s="1"/>
  <c r="H278" i="15" s="1"/>
  <c r="H279" i="15" s="1"/>
  <c r="H280" i="15" s="1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H294" i="15" s="1"/>
  <c r="H295" i="15" s="1"/>
  <c r="H296" i="15" s="1"/>
  <c r="H297" i="15" s="1"/>
  <c r="H298" i="15" s="1"/>
  <c r="H299" i="15" s="1"/>
  <c r="H300" i="15" s="1"/>
  <c r="H301" i="15" s="1"/>
  <c r="H302" i="15" s="1"/>
  <c r="H303" i="15" s="1"/>
  <c r="H304" i="15" s="1"/>
  <c r="H305" i="15" s="1"/>
  <c r="H306" i="15" s="1"/>
  <c r="H307" i="15" s="1"/>
  <c r="H308" i="15" s="1"/>
  <c r="H309" i="15" s="1"/>
  <c r="H310" i="15" s="1"/>
  <c r="H311" i="15" s="1"/>
  <c r="H312" i="15" s="1"/>
  <c r="H313" i="15" s="1"/>
  <c r="H314" i="15" s="1"/>
  <c r="H315" i="15" s="1"/>
  <c r="H316" i="15" s="1"/>
  <c r="H317" i="15" s="1"/>
  <c r="H318" i="15" s="1"/>
  <c r="H319" i="15" s="1"/>
  <c r="H320" i="15" s="1"/>
  <c r="H321" i="15" s="1"/>
  <c r="H322" i="15" s="1"/>
  <c r="H323" i="15" s="1"/>
  <c r="H324" i="15" s="1"/>
  <c r="H325" i="15" s="1"/>
  <c r="H326" i="15" s="1"/>
  <c r="H327" i="15" s="1"/>
  <c r="H328" i="15" s="1"/>
  <c r="H329" i="15" s="1"/>
  <c r="H330" i="15" s="1"/>
  <c r="H331" i="15" s="1"/>
  <c r="H332" i="15" s="1"/>
  <c r="H333" i="15" s="1"/>
  <c r="H334" i="15" s="1"/>
  <c r="H335" i="15" s="1"/>
  <c r="H336" i="15" s="1"/>
  <c r="H337" i="15" s="1"/>
  <c r="H338" i="15" s="1"/>
  <c r="H339" i="15" s="1"/>
  <c r="H340" i="15" s="1"/>
  <c r="H341" i="15" s="1"/>
  <c r="H342" i="15" s="1"/>
  <c r="H343" i="15" s="1"/>
  <c r="H344" i="15" s="1"/>
  <c r="H345" i="15" s="1"/>
  <c r="H346" i="15" s="1"/>
  <c r="H347" i="15" s="1"/>
  <c r="H348" i="15" s="1"/>
  <c r="H349" i="15" s="1"/>
  <c r="H350" i="15" s="1"/>
  <c r="H351" i="15" s="1"/>
  <c r="H352" i="15" s="1"/>
  <c r="H353" i="15" s="1"/>
  <c r="H354" i="15" s="1"/>
  <c r="H355" i="15" s="1"/>
  <c r="H356" i="15" s="1"/>
  <c r="B172" i="15"/>
  <c r="B177" i="15"/>
  <c r="E177" i="15" s="1"/>
  <c r="C177" i="15" s="1"/>
  <c r="B182" i="15"/>
  <c r="E182" i="15" s="1"/>
  <c r="C182" i="15" s="1"/>
  <c r="E172" i="15"/>
  <c r="C172" i="15" s="1"/>
  <c r="E187" i="15"/>
  <c r="C187" i="15" s="1"/>
  <c r="A145" i="15"/>
  <c r="E145" i="15" s="1"/>
  <c r="C145" i="15" s="1"/>
  <c r="E163" i="15"/>
  <c r="C163" i="15" s="1"/>
  <c r="A197" i="15"/>
  <c r="E197" i="15" s="1"/>
  <c r="C197" i="15" s="1"/>
  <c r="A211" i="15"/>
  <c r="E211" i="15" s="1"/>
  <c r="C211" i="15" s="1"/>
  <c r="B245" i="15"/>
  <c r="E245" i="15" s="1"/>
  <c r="C245" i="15" s="1"/>
  <c r="E18" i="15"/>
  <c r="C18" i="15" s="1"/>
  <c r="B65" i="15"/>
  <c r="E65" i="15" s="1"/>
  <c r="C65" i="15" s="1"/>
  <c r="D91" i="15"/>
  <c r="A193" i="15"/>
  <c r="A226" i="15"/>
  <c r="E226" i="15" s="1"/>
  <c r="C226" i="15" s="1"/>
  <c r="A236" i="15"/>
  <c r="E236" i="15" s="1"/>
  <c r="C236" i="15" s="1"/>
  <c r="A241" i="15"/>
  <c r="E241" i="15" s="1"/>
  <c r="C241" i="15" s="1"/>
  <c r="A62" i="13"/>
  <c r="E62" i="13" s="1"/>
  <c r="C62" i="13" s="1"/>
  <c r="A60" i="13"/>
  <c r="E60" i="13" s="1"/>
  <c r="C60" i="13" s="1"/>
  <c r="A101" i="12"/>
  <c r="E101" i="12" s="1"/>
  <c r="A191" i="11"/>
  <c r="E191" i="11" s="1"/>
  <c r="C191" i="11" s="1"/>
  <c r="A129" i="10"/>
  <c r="E129" i="10" s="1"/>
  <c r="C129" i="10" s="1"/>
  <c r="C208" i="9"/>
  <c r="E155" i="8"/>
  <c r="C155" i="8" s="1"/>
  <c r="A158" i="8"/>
  <c r="E158" i="8" s="1"/>
  <c r="C158" i="8" s="1"/>
  <c r="A264" i="7"/>
  <c r="E264" i="7" s="1"/>
  <c r="C264" i="7" s="1"/>
  <c r="B170" i="15"/>
  <c r="A170" i="15"/>
  <c r="D111" i="15"/>
  <c r="B109" i="15"/>
  <c r="E109" i="15" s="1"/>
  <c r="C109" i="15" s="1"/>
  <c r="E215" i="15"/>
  <c r="C215" i="15" s="1"/>
  <c r="D69" i="15"/>
  <c r="B67" i="15"/>
  <c r="A67" i="15"/>
  <c r="B154" i="15"/>
  <c r="A154" i="15"/>
  <c r="E33" i="15"/>
  <c r="C33" i="15" s="1"/>
  <c r="E42" i="15"/>
  <c r="C42" i="15" s="1"/>
  <c r="E202" i="15"/>
  <c r="C202" i="15" s="1"/>
  <c r="D93" i="15"/>
  <c r="B91" i="15"/>
  <c r="A91" i="15"/>
  <c r="B139" i="15"/>
  <c r="A139" i="15"/>
  <c r="B185" i="15"/>
  <c r="A185" i="15"/>
  <c r="D284" i="15"/>
  <c r="B282" i="15"/>
  <c r="A282" i="15"/>
  <c r="B159" i="15"/>
  <c r="A159" i="15"/>
  <c r="B230" i="15"/>
  <c r="A230" i="15"/>
  <c r="E217" i="15"/>
  <c r="C217" i="15" s="1"/>
  <c r="E221" i="15"/>
  <c r="C221" i="15" s="1"/>
  <c r="B199" i="15"/>
  <c r="A199" i="15"/>
  <c r="D275" i="15"/>
  <c r="B273" i="15"/>
  <c r="A273" i="15"/>
  <c r="B204" i="15"/>
  <c r="A204" i="15"/>
  <c r="E89" i="15"/>
  <c r="C89" i="15" s="1"/>
  <c r="E116" i="15"/>
  <c r="C116" i="15" s="1"/>
  <c r="B209" i="15"/>
  <c r="A209" i="15"/>
  <c r="D46" i="15"/>
  <c r="B44" i="15"/>
  <c r="E44" i="15" s="1"/>
  <c r="B149" i="15"/>
  <c r="A149" i="15"/>
  <c r="B193" i="15"/>
  <c r="A174" i="15"/>
  <c r="E174" i="15" s="1"/>
  <c r="C174" i="15" s="1"/>
  <c r="A179" i="15"/>
  <c r="E179" i="15" s="1"/>
  <c r="C179" i="15" s="1"/>
  <c r="A189" i="15"/>
  <c r="E189" i="15" s="1"/>
  <c r="C189" i="15" s="1"/>
  <c r="A255" i="15"/>
  <c r="E255" i="15" s="1"/>
  <c r="C255" i="15" s="1"/>
  <c r="A234" i="15"/>
  <c r="E234" i="15" s="1"/>
  <c r="C234" i="15" s="1"/>
  <c r="A239" i="15"/>
  <c r="E239" i="15" s="1"/>
  <c r="C239" i="15" s="1"/>
  <c r="A280" i="15"/>
  <c r="D224" i="15"/>
  <c r="A253" i="15"/>
  <c r="E253" i="15" s="1"/>
  <c r="C253" i="15" s="1"/>
  <c r="B280" i="15"/>
  <c r="A251" i="15"/>
  <c r="E251" i="15" s="1"/>
  <c r="C251" i="15" s="1"/>
  <c r="A263" i="15"/>
  <c r="E263" i="15" s="1"/>
  <c r="C263" i="15" s="1"/>
  <c r="A271" i="15"/>
  <c r="E271" i="15" s="1"/>
  <c r="C271" i="15" s="1"/>
  <c r="B271" i="15"/>
  <c r="A168" i="15" l="1"/>
  <c r="E209" i="15"/>
  <c r="C209" i="15" s="1"/>
  <c r="E91" i="15"/>
  <c r="C91" i="15" s="1"/>
  <c r="E230" i="15"/>
  <c r="C230" i="15" s="1"/>
  <c r="E193" i="15"/>
  <c r="C193" i="15" s="1"/>
  <c r="E107" i="15"/>
  <c r="C107" i="15" s="1"/>
  <c r="A137" i="15"/>
  <c r="B137" i="15"/>
  <c r="E149" i="15"/>
  <c r="C149" i="15" s="1"/>
  <c r="E170" i="15"/>
  <c r="C170" i="15" s="1"/>
  <c r="E199" i="15"/>
  <c r="C199" i="15" s="1"/>
  <c r="H168" i="15"/>
  <c r="E185" i="15"/>
  <c r="C185" i="15" s="1"/>
  <c r="E67" i="15"/>
  <c r="C67" i="15" s="1"/>
  <c r="C44" i="15"/>
  <c r="D286" i="15"/>
  <c r="B284" i="15"/>
  <c r="A284" i="15"/>
  <c r="E280" i="15"/>
  <c r="C280" i="15" s="1"/>
  <c r="E139" i="15"/>
  <c r="C139" i="15" s="1"/>
  <c r="E154" i="15"/>
  <c r="C154" i="15" s="1"/>
  <c r="B224" i="15"/>
  <c r="A224" i="15"/>
  <c r="D48" i="15"/>
  <c r="B46" i="15"/>
  <c r="A46" i="15"/>
  <c r="E204" i="15"/>
  <c r="C204" i="15" s="1"/>
  <c r="B93" i="15"/>
  <c r="D95" i="15"/>
  <c r="A93" i="15"/>
  <c r="B69" i="15"/>
  <c r="A69" i="15"/>
  <c r="E69" i="15" s="1"/>
  <c r="C69" i="15" s="1"/>
  <c r="D71" i="15"/>
  <c r="E273" i="15"/>
  <c r="C273" i="15" s="1"/>
  <c r="E159" i="15"/>
  <c r="C159" i="15" s="1"/>
  <c r="B275" i="15"/>
  <c r="A275" i="15"/>
  <c r="E282" i="15"/>
  <c r="C282" i="15" s="1"/>
  <c r="A111" i="15"/>
  <c r="B111" i="15"/>
  <c r="E93" i="15" l="1"/>
  <c r="C93" i="15" s="1"/>
  <c r="E284" i="15"/>
  <c r="C284" i="15" s="1"/>
  <c r="E224" i="15"/>
  <c r="C224" i="15" s="1"/>
  <c r="E275" i="15"/>
  <c r="C275" i="15" s="1"/>
  <c r="E137" i="15"/>
  <c r="C137" i="15" s="1"/>
  <c r="D73" i="15"/>
  <c r="B71" i="15"/>
  <c r="A71" i="15"/>
  <c r="D97" i="15"/>
  <c r="B95" i="15"/>
  <c r="A95" i="15"/>
  <c r="B48" i="15"/>
  <c r="D50" i="15"/>
  <c r="A48" i="15"/>
  <c r="E111" i="15"/>
  <c r="C111" i="15" s="1"/>
  <c r="E46" i="15"/>
  <c r="A286" i="15"/>
  <c r="D288" i="15"/>
  <c r="B286" i="15"/>
  <c r="E95" i="15" l="1"/>
  <c r="C95" i="15" s="1"/>
  <c r="E48" i="15"/>
  <c r="C48" i="15" s="1"/>
  <c r="E286" i="15"/>
  <c r="C286" i="15" s="1"/>
  <c r="A73" i="15"/>
  <c r="E73" i="15" s="1"/>
  <c r="C73" i="15" s="1"/>
  <c r="B73" i="15"/>
  <c r="D75" i="15"/>
  <c r="D290" i="15"/>
  <c r="B288" i="15"/>
  <c r="A288" i="15"/>
  <c r="C46" i="15"/>
  <c r="D52" i="15"/>
  <c r="B50" i="15"/>
  <c r="A50" i="15"/>
  <c r="A97" i="15"/>
  <c r="B97" i="15"/>
  <c r="D99" i="15"/>
  <c r="E71" i="15"/>
  <c r="C71" i="15" s="1"/>
  <c r="E97" i="15" l="1"/>
  <c r="C97" i="15" s="1"/>
  <c r="D101" i="15"/>
  <c r="B99" i="15"/>
  <c r="A99" i="15"/>
  <c r="E99" i="15" s="1"/>
  <c r="C99" i="15" s="1"/>
  <c r="E288" i="15"/>
  <c r="C288" i="15" s="1"/>
  <c r="B290" i="15"/>
  <c r="A290" i="15"/>
  <c r="D293" i="15"/>
  <c r="E50" i="15"/>
  <c r="D77" i="15"/>
  <c r="B75" i="15"/>
  <c r="A75" i="15"/>
  <c r="E75" i="15" s="1"/>
  <c r="C75" i="15" s="1"/>
  <c r="D54" i="15"/>
  <c r="B52" i="15"/>
  <c r="A52" i="15"/>
  <c r="E290" i="15" l="1"/>
  <c r="C290" i="15" s="1"/>
  <c r="E52" i="15"/>
  <c r="C52" i="15" s="1"/>
  <c r="A77" i="15"/>
  <c r="B77" i="15"/>
  <c r="D79" i="15"/>
  <c r="C50" i="15"/>
  <c r="D295" i="15"/>
  <c r="B293" i="15"/>
  <c r="A293" i="15"/>
  <c r="A54" i="15"/>
  <c r="D56" i="15"/>
  <c r="B54" i="15"/>
  <c r="A101" i="15"/>
  <c r="D103" i="15"/>
  <c r="B101" i="15"/>
  <c r="E77" i="15" l="1"/>
  <c r="C77" i="15" s="1"/>
  <c r="E293" i="15"/>
  <c r="C293" i="15" s="1"/>
  <c r="E101" i="15"/>
  <c r="C101" i="15" s="1"/>
  <c r="E54" i="15"/>
  <c r="C54" i="15" s="1"/>
  <c r="D297" i="15"/>
  <c r="B295" i="15"/>
  <c r="A295" i="15"/>
  <c r="E295" i="15" s="1"/>
  <c r="C295" i="15" s="1"/>
  <c r="D81" i="15"/>
  <c r="B79" i="15"/>
  <c r="A79" i="15"/>
  <c r="B103" i="15"/>
  <c r="A103" i="15"/>
  <c r="E103" i="15" s="1"/>
  <c r="C103" i="15" s="1"/>
  <c r="D58" i="15"/>
  <c r="B56" i="15"/>
  <c r="A56" i="15"/>
  <c r="E79" i="15" l="1"/>
  <c r="C79" i="15" s="1"/>
  <c r="E56" i="15"/>
  <c r="C56" i="15" s="1"/>
  <c r="D299" i="15"/>
  <c r="B297" i="15"/>
  <c r="A297" i="15"/>
  <c r="D60" i="15"/>
  <c r="B58" i="15"/>
  <c r="A58" i="15"/>
  <c r="E58" i="15" s="1"/>
  <c r="C58" i="15" s="1"/>
  <c r="B81" i="15"/>
  <c r="A81" i="15"/>
  <c r="E81" i="15" s="1"/>
  <c r="C81" i="15" s="1"/>
  <c r="D83" i="15"/>
  <c r="E297" i="15" l="1"/>
  <c r="C297" i="15" s="1"/>
  <c r="D85" i="15"/>
  <c r="B83" i="15"/>
  <c r="A83" i="15"/>
  <c r="A60" i="15"/>
  <c r="B60" i="15"/>
  <c r="D301" i="15"/>
  <c r="B299" i="15"/>
  <c r="A299" i="15"/>
  <c r="E60" i="15" l="1"/>
  <c r="C60" i="15" s="1"/>
  <c r="E299" i="15"/>
  <c r="C299" i="15" s="1"/>
  <c r="E83" i="15"/>
  <c r="C83" i="15" s="1"/>
  <c r="A85" i="15"/>
  <c r="B85" i="15"/>
  <c r="D303" i="15"/>
  <c r="B301" i="15"/>
  <c r="A301" i="15"/>
  <c r="E85" i="15" l="1"/>
  <c r="C85" i="15" s="1"/>
  <c r="E301" i="15"/>
  <c r="C301" i="15" s="1"/>
  <c r="A303" i="15"/>
  <c r="D305" i="15"/>
  <c r="B303" i="15"/>
  <c r="E303" i="15" l="1"/>
  <c r="C303" i="15" s="1"/>
  <c r="B305" i="15"/>
  <c r="A305" i="15"/>
  <c r="D308" i="15"/>
  <c r="A308" i="15" l="1"/>
  <c r="D311" i="15"/>
  <c r="B308" i="15"/>
  <c r="E305" i="15"/>
  <c r="C305" i="15" s="1"/>
  <c r="E308" i="15" l="1"/>
  <c r="C308" i="15" s="1"/>
  <c r="D313" i="15"/>
  <c r="B311" i="15"/>
  <c r="A311" i="15"/>
  <c r="E311" i="15" s="1"/>
  <c r="C311" i="15" s="1"/>
  <c r="A313" i="15" l="1"/>
  <c r="E313" i="15" s="1"/>
  <c r="C313" i="15" s="1"/>
  <c r="B313" i="15"/>
  <c r="D315" i="15"/>
  <c r="B315" i="15" l="1"/>
  <c r="A315" i="15"/>
  <c r="D318" i="15"/>
  <c r="A318" i="15" l="1"/>
  <c r="B318" i="15"/>
  <c r="D320" i="15"/>
  <c r="E315" i="15"/>
  <c r="C315" i="15" s="1"/>
  <c r="D322" i="15" l="1"/>
  <c r="B320" i="15"/>
  <c r="A320" i="15"/>
  <c r="E318" i="15"/>
  <c r="C318" i="15" s="1"/>
  <c r="E320" i="15" l="1"/>
  <c r="C320" i="15" s="1"/>
  <c r="D324" i="15"/>
  <c r="B322" i="15"/>
  <c r="A322" i="15"/>
  <c r="E322" i="15" l="1"/>
  <c r="C322" i="15" s="1"/>
  <c r="D326" i="15"/>
  <c r="D328" i="15" s="1"/>
  <c r="B324" i="15"/>
  <c r="A324" i="15"/>
  <c r="A328" i="15" l="1"/>
  <c r="D330" i="15"/>
  <c r="B328" i="15"/>
  <c r="E324" i="15"/>
  <c r="C324" i="15" s="1"/>
  <c r="B326" i="15"/>
  <c r="A326" i="15"/>
  <c r="E328" i="15" l="1"/>
  <c r="C328" i="15" s="1"/>
  <c r="E326" i="15"/>
  <c r="C326" i="15" s="1"/>
  <c r="B330" i="15"/>
  <c r="A330" i="15"/>
  <c r="E330" i="15" s="1"/>
  <c r="C330" i="15" s="1"/>
  <c r="A3" i="15"/>
  <c r="H3" i="15" l="1" a="1"/>
  <c r="H3" i="15" s="1"/>
  <c r="C263" i="7" l="1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99" i="12"/>
  <c r="B99" i="12" s="1"/>
  <c r="B100" i="12"/>
  <c r="A100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D204" i="9"/>
  <c r="B204" i="9" s="1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E82" i="6" s="1"/>
  <c r="C82" i="6" s="1"/>
  <c r="C57" i="13"/>
  <c r="B57" i="13"/>
  <c r="A57" i="13"/>
  <c r="D97" i="12"/>
  <c r="B97" i="12" s="1"/>
  <c r="D95" i="12"/>
  <c r="B95" i="12" s="1"/>
  <c r="B98" i="12"/>
  <c r="A98" i="12"/>
  <c r="B96" i="12"/>
  <c r="A96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H264" i="7" s="1"/>
  <c r="H265" i="7" s="1"/>
  <c r="H266" i="7" s="1"/>
  <c r="H267" i="7" s="1"/>
  <c r="H268" i="7" s="1"/>
  <c r="H269" i="7" s="1"/>
  <c r="H270" i="7" s="1"/>
  <c r="H271" i="7" s="1"/>
  <c r="H272" i="7" s="1"/>
  <c r="H273" i="7" s="1"/>
  <c r="H274" i="7" s="1"/>
  <c r="H275" i="7" s="1"/>
  <c r="H276" i="7" s="1"/>
  <c r="H277" i="7" s="1"/>
  <c r="H278" i="7" s="1"/>
  <c r="H279" i="7" s="1"/>
  <c r="H280" i="7" s="1"/>
  <c r="H281" i="7" s="1"/>
  <c r="H282" i="7" s="1"/>
  <c r="H283" i="7" s="1"/>
  <c r="H284" i="7" s="1"/>
  <c r="H285" i="7" s="1"/>
  <c r="H286" i="7" s="1"/>
  <c r="H287" i="7" s="1"/>
  <c r="H288" i="7" s="1"/>
  <c r="H289" i="7" s="1"/>
  <c r="H290" i="7" s="1"/>
  <c r="H291" i="7" s="1"/>
  <c r="H292" i="7" s="1"/>
  <c r="H29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99" i="12"/>
  <c r="E99" i="12" s="1"/>
  <c r="A125" i="10"/>
  <c r="E125" i="10" s="1"/>
  <c r="C125" i="10" s="1"/>
  <c r="A204" i="9"/>
  <c r="E204" i="9" s="1"/>
  <c r="C204" i="9" s="1"/>
  <c r="A149" i="8"/>
  <c r="E149" i="8" s="1"/>
  <c r="C149" i="8" s="1"/>
  <c r="A97" i="12"/>
  <c r="E97" i="12" s="1"/>
  <c r="A95" i="12"/>
  <c r="E95" i="12" s="1"/>
  <c r="A123" i="10"/>
  <c r="E123" i="10" s="1"/>
  <c r="C123" i="10" s="1"/>
  <c r="E202" i="9"/>
  <c r="C202" i="9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5" i="13"/>
  <c r="E55" i="13" s="1"/>
  <c r="C55" i="13" s="1"/>
  <c r="B48" i="13"/>
  <c r="E48" i="13" s="1"/>
  <c r="C48" i="13" s="1"/>
  <c r="C53" i="13"/>
  <c r="B53" i="13"/>
  <c r="A53" i="13"/>
  <c r="C52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3" i="12"/>
  <c r="B93" i="12" s="1"/>
  <c r="B94" i="12"/>
  <c r="A94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3" i="12"/>
  <c r="E93" i="12" s="1"/>
  <c r="A176" i="11"/>
  <c r="E176" i="11" s="1"/>
  <c r="C176" i="11" s="1"/>
  <c r="D44" i="13"/>
  <c r="B44" i="13" s="1"/>
  <c r="B42" i="13"/>
  <c r="C45" i="13"/>
  <c r="B45" i="13"/>
  <c r="A45" i="13"/>
  <c r="C43" i="13"/>
  <c r="B43" i="13"/>
  <c r="A43" i="13"/>
  <c r="B86" i="12"/>
  <c r="A86" i="12"/>
  <c r="B92" i="12"/>
  <c r="A92" i="12"/>
  <c r="B91" i="12"/>
  <c r="A91" i="12"/>
  <c r="D90" i="12"/>
  <c r="B90" i="12" s="1"/>
  <c r="B89" i="12"/>
  <c r="A89" i="12"/>
  <c r="D88" i="12"/>
  <c r="B88" i="12" s="1"/>
  <c r="B87" i="12"/>
  <c r="A87" i="12"/>
  <c r="D85" i="12"/>
  <c r="B85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H191" i="11" s="1"/>
  <c r="H192" i="11" s="1"/>
  <c r="H193" i="11" s="1"/>
  <c r="H194" i="11" s="1"/>
  <c r="H195" i="11" s="1"/>
  <c r="H196" i="11" s="1"/>
  <c r="H197" i="11" s="1"/>
  <c r="H198" i="11" s="1"/>
  <c r="H199" i="11" s="1"/>
  <c r="H200" i="11" s="1"/>
  <c r="H201" i="11" s="1"/>
  <c r="H202" i="11" s="1"/>
  <c r="H203" i="11" s="1"/>
  <c r="H204" i="11" s="1"/>
  <c r="H205" i="11" s="1"/>
  <c r="H206" i="11" s="1"/>
  <c r="H207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B179" i="11" l="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0" i="12"/>
  <c r="E90" i="12" s="1"/>
  <c r="A88" i="12"/>
  <c r="E88" i="12" s="1"/>
  <c r="A85" i="12"/>
  <c r="E85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C7" i="13"/>
  <c r="B7" i="13"/>
  <c r="A7" i="13"/>
  <c r="B84" i="12"/>
  <c r="A84" i="12"/>
  <c r="B83" i="12"/>
  <c r="A83" i="12"/>
  <c r="B82" i="12"/>
  <c r="A82" i="12"/>
  <c r="D81" i="12"/>
  <c r="B80" i="12"/>
  <c r="A80" i="12"/>
  <c r="D79" i="12"/>
  <c r="A79" i="12" s="1"/>
  <c r="B78" i="12"/>
  <c r="A78" i="12"/>
  <c r="D77" i="12"/>
  <c r="B77" i="12" s="1"/>
  <c r="B76" i="12"/>
  <c r="A76" i="12"/>
  <c r="D75" i="12"/>
  <c r="B74" i="12"/>
  <c r="A74" i="12"/>
  <c r="B73" i="12"/>
  <c r="A73" i="12"/>
  <c r="D72" i="12"/>
  <c r="A72" i="12" s="1"/>
  <c r="B71" i="12"/>
  <c r="A71" i="12"/>
  <c r="D70" i="12"/>
  <c r="B70" i="12" s="1"/>
  <c r="B69" i="12"/>
  <c r="A69" i="12"/>
  <c r="B68" i="12"/>
  <c r="A68" i="12"/>
  <c r="D67" i="12"/>
  <c r="B66" i="12"/>
  <c r="A66" i="12"/>
  <c r="D65" i="12"/>
  <c r="B64" i="12"/>
  <c r="A64" i="12"/>
  <c r="D63" i="12"/>
  <c r="A63" i="12" s="1"/>
  <c r="B62" i="12"/>
  <c r="A62" i="12"/>
  <c r="D61" i="12"/>
  <c r="B60" i="12"/>
  <c r="A60" i="12"/>
  <c r="B59" i="12"/>
  <c r="A59" i="12"/>
  <c r="B58" i="12"/>
  <c r="A58" i="12"/>
  <c r="F57" i="12"/>
  <c r="B57" i="12"/>
  <c r="A57" i="12"/>
  <c r="F56" i="12"/>
  <c r="B56" i="12"/>
  <c r="A56" i="12"/>
  <c r="F55" i="12"/>
  <c r="B55" i="12"/>
  <c r="A55" i="12"/>
  <c r="F54" i="12"/>
  <c r="B54" i="12"/>
  <c r="A54" i="12"/>
  <c r="F53" i="12"/>
  <c r="B53" i="12"/>
  <c r="A53" i="12"/>
  <c r="B52" i="12"/>
  <c r="A52" i="12"/>
  <c r="D51" i="12"/>
  <c r="B51" i="12" s="1"/>
  <c r="B50" i="12"/>
  <c r="A50" i="12"/>
  <c r="D49" i="12"/>
  <c r="B49" i="12" s="1"/>
  <c r="C48" i="12"/>
  <c r="B48" i="12"/>
  <c r="A48" i="12"/>
  <c r="D47" i="12"/>
  <c r="C46" i="12"/>
  <c r="B46" i="12"/>
  <c r="A46" i="12"/>
  <c r="D45" i="12"/>
  <c r="C44" i="12"/>
  <c r="B44" i="12"/>
  <c r="A44" i="12"/>
  <c r="D43" i="12"/>
  <c r="A43" i="12" s="1"/>
  <c r="C42" i="12"/>
  <c r="B42" i="12"/>
  <c r="A42" i="12"/>
  <c r="D41" i="12"/>
  <c r="A41" i="12" s="1"/>
  <c r="C40" i="12"/>
  <c r="B40" i="12"/>
  <c r="A40" i="12"/>
  <c r="C39" i="12"/>
  <c r="B39" i="12"/>
  <c r="A39" i="12"/>
  <c r="D38" i="12"/>
  <c r="C37" i="12"/>
  <c r="B37" i="12"/>
  <c r="A37" i="12"/>
  <c r="C36" i="12"/>
  <c r="B36" i="12"/>
  <c r="A36" i="12"/>
  <c r="B35" i="12"/>
  <c r="A35" i="12"/>
  <c r="C34" i="12"/>
  <c r="B34" i="12"/>
  <c r="A34" i="12"/>
  <c r="H33" i="12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C33" i="12"/>
  <c r="B33" i="12"/>
  <c r="A33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171" i="11"/>
  <c r="B171" i="11"/>
  <c r="A171" i="11"/>
  <c r="C170" i="11"/>
  <c r="B170" i="11"/>
  <c r="A170" i="11"/>
  <c r="D169" i="11"/>
  <c r="A169" i="11" s="1"/>
  <c r="B169" i="1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C117" i="11"/>
  <c r="B117" i="11"/>
  <c r="A117" i="11"/>
  <c r="C116" i="11"/>
  <c r="E115" i="11"/>
  <c r="C115" i="11" s="1"/>
  <c r="G114" i="11"/>
  <c r="G115" i="11" s="1"/>
  <c r="D114" i="11"/>
  <c r="D115" i="11" s="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B64" i="1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B43" i="1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C7" i="1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B7" i="10"/>
  <c r="A7" i="10"/>
  <c r="C193" i="9"/>
  <c r="B193" i="9"/>
  <c r="A193" i="9"/>
  <c r="D192" i="9"/>
  <c r="B192" i="9"/>
  <c r="A192" i="9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A170" i="9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H121" i="9" s="1"/>
  <c r="H122" i="9" s="1"/>
  <c r="H123" i="9" s="1"/>
  <c r="H124" i="9" s="1"/>
  <c r="C120" i="9"/>
  <c r="B120" i="9"/>
  <c r="A120" i="9"/>
  <c r="C118" i="9"/>
  <c r="H117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B45" i="8"/>
  <c r="A45" i="8"/>
  <c r="E45" i="8" s="1"/>
  <c r="C45" i="8" s="1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7" i="8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7" i="8"/>
  <c r="B7" i="8"/>
  <c r="A7" i="8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A166" i="7"/>
  <c r="E166" i="7" s="1"/>
  <c r="C166" i="7" s="1"/>
  <c r="C165" i="7"/>
  <c r="B165" i="7"/>
  <c r="A165" i="7"/>
  <c r="C164" i="7"/>
  <c r="B164" i="7"/>
  <c r="A164" i="7"/>
  <c r="D163" i="7"/>
  <c r="B163" i="7" s="1"/>
  <c r="A163" i="7"/>
  <c r="E163" i="7" s="1"/>
  <c r="C163" i="7" s="1"/>
  <c r="C162" i="7"/>
  <c r="B162" i="7"/>
  <c r="A162" i="7"/>
  <c r="C161" i="7"/>
  <c r="B161" i="7"/>
  <c r="A161" i="7"/>
  <c r="D160" i="7"/>
  <c r="A160" i="7" s="1"/>
  <c r="B160" i="7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A46" i="7"/>
  <c r="C45" i="7"/>
  <c r="B45" i="7"/>
  <c r="A45" i="7"/>
  <c r="C44" i="7"/>
  <c r="B44" i="7"/>
  <c r="A44" i="7"/>
  <c r="D43" i="7"/>
  <c r="A43" i="7" s="1"/>
  <c r="B43" i="7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A27" i="7"/>
  <c r="C26" i="7"/>
  <c r="B26" i="7"/>
  <c r="A26" i="7"/>
  <c r="C25" i="7"/>
  <c r="B25" i="7"/>
  <c r="A25" i="7"/>
  <c r="D24" i="7"/>
  <c r="A24" i="7" s="1"/>
  <c r="B24" i="7"/>
  <c r="C23" i="7"/>
  <c r="B23" i="7"/>
  <c r="A23" i="7"/>
  <c r="C22" i="7"/>
  <c r="B22" i="7"/>
  <c r="A22" i="7"/>
  <c r="C21" i="7"/>
  <c r="B21" i="7"/>
  <c r="A21" i="7"/>
  <c r="D20" i="7"/>
  <c r="B20" i="7" s="1"/>
  <c r="A20" i="7"/>
  <c r="E20" i="7" s="1"/>
  <c r="C20" i="7" s="1"/>
  <c r="C19" i="7"/>
  <c r="B19" i="7"/>
  <c r="A19" i="7"/>
  <c r="C18" i="7"/>
  <c r="B18" i="7"/>
  <c r="A18" i="7"/>
  <c r="D17" i="7"/>
  <c r="A17" i="7" s="1"/>
  <c r="B17" i="7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C8" i="7"/>
  <c r="B8" i="7"/>
  <c r="A8" i="7"/>
  <c r="H7" i="7"/>
  <c r="H8" i="7" s="1"/>
  <c r="C7" i="7"/>
  <c r="B7" i="7"/>
  <c r="A7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E35" i="12" l="1"/>
  <c r="C35" i="12" s="1"/>
  <c r="B231" i="7"/>
  <c r="A234" i="7"/>
  <c r="A237" i="7"/>
  <c r="B240" i="7"/>
  <c r="E240" i="7" s="1"/>
  <c r="C240" i="7" s="1"/>
  <c r="A129" i="7"/>
  <c r="B14" i="9"/>
  <c r="B108" i="9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E22" i="8" s="1"/>
  <c r="C22" i="8" s="1"/>
  <c r="B84" i="8"/>
  <c r="E84" i="8" s="1"/>
  <c r="C84" i="8" s="1"/>
  <c r="A86" i="8"/>
  <c r="E86" i="8" s="1"/>
  <c r="C86" i="8" s="1"/>
  <c r="A123" i="8"/>
  <c r="B17" i="8"/>
  <c r="E17" i="8" s="1"/>
  <c r="C17" i="8" s="1"/>
  <c r="B28" i="8"/>
  <c r="E28" i="8" s="1"/>
  <c r="C28" i="8" s="1"/>
  <c r="A110" i="8"/>
  <c r="E110" i="8" s="1"/>
  <c r="C110" i="8" s="1"/>
  <c r="B117" i="8"/>
  <c r="B120" i="7"/>
  <c r="B123" i="7"/>
  <c r="E231" i="7"/>
  <c r="C231" i="7" s="1"/>
  <c r="B177" i="7"/>
  <c r="E177" i="7" s="1"/>
  <c r="C177" i="7" s="1"/>
  <c r="A180" i="7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E17" i="7"/>
  <c r="C17" i="7" s="1"/>
  <c r="A150" i="7"/>
  <c r="E150" i="7" s="1"/>
  <c r="C150" i="7" s="1"/>
  <c r="A153" i="7"/>
  <c r="E153" i="7" s="1"/>
  <c r="C153" i="7" s="1"/>
  <c r="E27" i="7"/>
  <c r="C27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E160" i="7"/>
  <c r="C160" i="7" s="1"/>
  <c r="B169" i="7"/>
  <c r="E169" i="7" s="1"/>
  <c r="C169" i="7" s="1"/>
  <c r="A189" i="7"/>
  <c r="E189" i="7" s="1"/>
  <c r="C189" i="7" s="1"/>
  <c r="A192" i="7"/>
  <c r="E192" i="7" s="1"/>
  <c r="C192" i="7" s="1"/>
  <c r="A30" i="7"/>
  <c r="E30" i="7" s="1"/>
  <c r="C30" i="7" s="1"/>
  <c r="E129" i="7"/>
  <c r="C129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3" i="12"/>
  <c r="B79" i="12"/>
  <c r="E79" i="12" s="1"/>
  <c r="A18" i="12"/>
  <c r="E18" i="12" s="1"/>
  <c r="C18" i="12" s="1"/>
  <c r="A22" i="12"/>
  <c r="E22" i="12" s="1"/>
  <c r="C22" i="12" s="1"/>
  <c r="B30" i="12"/>
  <c r="A49" i="12"/>
  <c r="E49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A90" i="9"/>
  <c r="D92" i="9"/>
  <c r="D93" i="9" s="1"/>
  <c r="B90" i="9"/>
  <c r="D49" i="11"/>
  <c r="A49" i="11" s="1"/>
  <c r="A48" i="11"/>
  <c r="B148" i="11"/>
  <c r="A148" i="11"/>
  <c r="A45" i="12"/>
  <c r="B45" i="12"/>
  <c r="B59" i="9"/>
  <c r="A106" i="9"/>
  <c r="B106" i="9"/>
  <c r="H54" i="12"/>
  <c r="H55" i="12" s="1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H103" i="12" s="1"/>
  <c r="H104" i="12" s="1"/>
  <c r="H105" i="12" s="1"/>
  <c r="H106" i="12" s="1"/>
  <c r="H107" i="12" s="1"/>
  <c r="H108" i="12" s="1"/>
  <c r="H109" i="12" s="1"/>
  <c r="H110" i="12" s="1"/>
  <c r="H111" i="12" s="1"/>
  <c r="H112" i="12" s="1"/>
  <c r="H113" i="12" s="1"/>
  <c r="H114" i="12" s="1"/>
  <c r="H115" i="12" s="1"/>
  <c r="H116" i="12" s="1"/>
  <c r="H117" i="12" s="1"/>
  <c r="H118" i="12" s="1"/>
  <c r="H119" i="12" s="1"/>
  <c r="H120" i="12" s="1"/>
  <c r="H121" i="12" s="1"/>
  <c r="H122" i="12" s="1"/>
  <c r="B38" i="12"/>
  <c r="A38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5" i="12"/>
  <c r="A65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B33" i="7"/>
  <c r="D36" i="7"/>
  <c r="A33" i="7"/>
  <c r="D56" i="9"/>
  <c r="B56" i="9" s="1"/>
  <c r="B55" i="9"/>
  <c r="A55" i="9"/>
  <c r="E55" i="9" s="1"/>
  <c r="C55" i="9" s="1"/>
  <c r="A20" i="12"/>
  <c r="B20" i="12"/>
  <c r="B40" i="7"/>
  <c r="A40" i="7"/>
  <c r="B167" i="11"/>
  <c r="A167" i="11"/>
  <c r="A67" i="12"/>
  <c r="B67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4" i="9" s="1"/>
  <c r="H205" i="9" s="1"/>
  <c r="H206" i="9" s="1"/>
  <c r="H207" i="9" s="1"/>
  <c r="H208" i="9" s="1"/>
  <c r="H209" i="9" s="1"/>
  <c r="H210" i="9" s="1"/>
  <c r="H211" i="9" s="1"/>
  <c r="H212" i="9" s="1"/>
  <c r="H213" i="9" s="1"/>
  <c r="H214" i="9" s="1"/>
  <c r="H215" i="9" s="1"/>
  <c r="H216" i="9" s="1"/>
  <c r="H217" i="9" s="1"/>
  <c r="H218" i="9" s="1"/>
  <c r="H219" i="9" s="1"/>
  <c r="H220" i="9" s="1"/>
  <c r="H221" i="9" s="1"/>
  <c r="H222" i="9" s="1"/>
  <c r="H223" i="9" s="1"/>
  <c r="H224" i="9" s="1"/>
  <c r="H225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117" i="8"/>
  <c r="C117" i="8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123" i="8"/>
  <c r="C123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E33" i="10" s="1"/>
  <c r="C33" i="10" s="1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1" i="10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1" i="12"/>
  <c r="E41" i="12" s="1"/>
  <c r="E30" i="12"/>
  <c r="C30" i="12" s="1"/>
  <c r="B72" i="12"/>
  <c r="E72" i="12" s="1"/>
  <c r="A194" i="9"/>
  <c r="E194" i="9" s="1"/>
  <c r="C194" i="9" s="1"/>
  <c r="B133" i="11"/>
  <c r="B65" i="11"/>
  <c r="B103" i="11"/>
  <c r="E169" i="11"/>
  <c r="C169" i="11" s="1"/>
  <c r="A55" i="11"/>
  <c r="D44" i="11"/>
  <c r="B44" i="11" s="1"/>
  <c r="B48" i="11"/>
  <c r="D69" i="11"/>
  <c r="A69" i="11" s="1"/>
  <c r="E43" i="11"/>
  <c r="C43" i="11" s="1"/>
  <c r="H10" i="11"/>
  <c r="A64" i="11"/>
  <c r="E64" i="11" s="1"/>
  <c r="C64" i="11" s="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E234" i="7"/>
  <c r="C234" i="7" s="1"/>
  <c r="A21" i="6"/>
  <c r="B132" i="7"/>
  <c r="A132" i="7"/>
  <c r="B19" i="8"/>
  <c r="A19" i="8"/>
  <c r="B21" i="6"/>
  <c r="E10" i="8"/>
  <c r="B126" i="7"/>
  <c r="E126" i="7" s="1"/>
  <c r="C126" i="7" s="1"/>
  <c r="E123" i="7"/>
  <c r="C123" i="7" s="1"/>
  <c r="E120" i="7"/>
  <c r="C120" i="7" s="1"/>
  <c r="B141" i="7"/>
  <c r="E141" i="7" s="1"/>
  <c r="C141" i="7" s="1"/>
  <c r="D147" i="7"/>
  <c r="A144" i="7"/>
  <c r="E144" i="7" s="1"/>
  <c r="C144" i="7" s="1"/>
  <c r="E180" i="7"/>
  <c r="C180" i="7" s="1"/>
  <c r="A48" i="7"/>
  <c r="D51" i="7"/>
  <c r="B48" i="7"/>
  <c r="E237" i="7"/>
  <c r="C237" i="7" s="1"/>
  <c r="B32" i="9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D127" i="9"/>
  <c r="B31" i="8"/>
  <c r="B172" i="9"/>
  <c r="A172" i="9"/>
  <c r="A54" i="8"/>
  <c r="E54" i="8" s="1"/>
  <c r="C54" i="8" s="1"/>
  <c r="E108" i="9"/>
  <c r="C108" i="9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1" i="12"/>
  <c r="E51" i="12" s="1"/>
  <c r="B63" i="12"/>
  <c r="E63" i="12" s="1"/>
  <c r="B81" i="12"/>
  <c r="A81" i="12"/>
  <c r="A77" i="12"/>
  <c r="E77" i="12" s="1"/>
  <c r="D70" i="10"/>
  <c r="E160" i="11"/>
  <c r="C160" i="11" s="1"/>
  <c r="A24" i="12"/>
  <c r="E24" i="12" s="1"/>
  <c r="C24" i="12" s="1"/>
  <c r="B127" i="11"/>
  <c r="A127" i="11"/>
  <c r="D111" i="11"/>
  <c r="A61" i="12"/>
  <c r="B61" i="12"/>
  <c r="A70" i="12"/>
  <c r="E70" i="12" s="1"/>
  <c r="D17" i="11"/>
  <c r="D25" i="11"/>
  <c r="A54" i="11"/>
  <c r="B16" i="12"/>
  <c r="A16" i="12"/>
  <c r="B54" i="11"/>
  <c r="A110" i="11"/>
  <c r="E110" i="11" s="1"/>
  <c r="C110" i="11" s="1"/>
  <c r="A124" i="11"/>
  <c r="A151" i="11"/>
  <c r="B26" i="12"/>
  <c r="A26" i="12"/>
  <c r="B75" i="12"/>
  <c r="A75" i="12"/>
  <c r="B15" i="13"/>
  <c r="A15" i="13"/>
  <c r="A129" i="11"/>
  <c r="E129" i="11" s="1"/>
  <c r="C129" i="11" s="1"/>
  <c r="B47" i="12"/>
  <c r="A47" i="12"/>
  <c r="B43" i="12"/>
  <c r="E43" i="12" s="1"/>
  <c r="B31" i="13"/>
  <c r="A31" i="13"/>
  <c r="B27" i="13"/>
  <c r="A27" i="13"/>
  <c r="A40" i="13"/>
  <c r="E40" i="13" s="1"/>
  <c r="C40" i="13" s="1"/>
  <c r="E114" i="11" l="1"/>
  <c r="C114" i="11" s="1"/>
  <c r="D81" i="10"/>
  <c r="A57" i="8"/>
  <c r="B57" i="8"/>
  <c r="H56" i="13"/>
  <c r="H57" i="13" s="1"/>
  <c r="H58" i="13" s="1"/>
  <c r="H59" i="13" s="1"/>
  <c r="H60" i="13" s="1"/>
  <c r="H61" i="13" s="1"/>
  <c r="H62" i="13" s="1"/>
  <c r="H63" i="13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5" i="12"/>
  <c r="E38" i="12"/>
  <c r="E16" i="12"/>
  <c r="C16" i="12" s="1"/>
  <c r="E45" i="12"/>
  <c r="E75" i="12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H118" i="11" s="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7" i="12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A92" i="9"/>
  <c r="B92" i="9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E61" i="10"/>
  <c r="C61" i="10" s="1"/>
  <c r="E52" i="10"/>
  <c r="C52" i="10" s="1"/>
  <c r="E23" i="10"/>
  <c r="C23" i="10" s="1"/>
  <c r="E85" i="10"/>
  <c r="C85" i="10" s="1"/>
  <c r="E34" i="10"/>
  <c r="C34" i="10" s="1"/>
  <c r="E81" i="12"/>
  <c r="E61" i="12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A108" i="11" s="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B127" i="9"/>
  <c r="D128" i="9"/>
  <c r="A127" i="9"/>
  <c r="A43" i="10"/>
  <c r="B43" i="10"/>
  <c r="E97" i="10"/>
  <c r="C97" i="10" s="1"/>
  <c r="B81" i="10"/>
  <c r="A81" i="10"/>
  <c r="D82" i="10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7" i="12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D95" i="9"/>
  <c r="B93" i="9"/>
  <c r="A93" i="9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11" i="8"/>
  <c r="C11" i="8" s="1"/>
  <c r="E48" i="7"/>
  <c r="C48" i="7" s="1"/>
  <c r="B111" i="9" l="1"/>
  <c r="E111" i="9" s="1"/>
  <c r="C111" i="9" s="1"/>
  <c r="D112" i="9"/>
  <c r="E29" i="9"/>
  <c r="C29" i="9" s="1"/>
  <c r="E36" i="7"/>
  <c r="C36" i="7" s="1"/>
  <c r="B72" i="11"/>
  <c r="E185" i="11"/>
  <c r="C185" i="11" s="1"/>
  <c r="D75" i="11"/>
  <c r="A75" i="11" s="1"/>
  <c r="E81" i="10"/>
  <c r="C81" i="10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A95" i="9"/>
  <c r="D96" i="9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A112" i="9"/>
  <c r="D114" i="9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B75" i="11" l="1"/>
  <c r="D76" i="11"/>
  <c r="E160" i="9"/>
  <c r="C160" i="9" s="1"/>
  <c r="E18" i="9"/>
  <c r="C18" i="9" s="1"/>
  <c r="E27" i="6"/>
  <c r="C27" i="6" s="1"/>
  <c r="E72" i="11"/>
  <c r="C72" i="11" s="1"/>
  <c r="E75" i="11"/>
  <c r="C75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D32" i="6" s="1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A76" i="11"/>
  <c r="B76" i="11"/>
  <c r="D79" i="11"/>
  <c r="E130" i="9" l="1"/>
  <c r="C130" i="9" s="1"/>
  <c r="E29" i="6"/>
  <c r="C29" i="6" s="1"/>
  <c r="E14" i="6"/>
  <c r="C14" i="6" s="1"/>
  <c r="E88" i="7"/>
  <c r="C88" i="7" s="1"/>
  <c r="D92" i="7"/>
  <c r="D18" i="6"/>
  <c r="B16" i="6"/>
  <c r="A16" i="6"/>
  <c r="E16" i="6" s="1"/>
  <c r="C16" i="6" s="1"/>
  <c r="D34" i="6"/>
  <c r="B32" i="6"/>
  <c r="A32" i="6"/>
  <c r="B115" i="9"/>
  <c r="A115" i="9"/>
  <c r="E66" i="8"/>
  <c r="C66" i="8" s="1"/>
  <c r="A79" i="11"/>
  <c r="B79" i="11"/>
  <c r="D80" i="11"/>
  <c r="E114" i="9"/>
  <c r="C114" i="9" s="1"/>
  <c r="C72" i="10"/>
  <c r="D68" i="9"/>
  <c r="A67" i="9"/>
  <c r="B67" i="9"/>
  <c r="D72" i="8"/>
  <c r="B69" i="8"/>
  <c r="A69" i="8"/>
  <c r="C63" i="8"/>
  <c r="E73" i="10"/>
  <c r="A3" i="10"/>
  <c r="A131" i="9"/>
  <c r="B131" i="9"/>
  <c r="D133" i="9"/>
  <c r="B163" i="9"/>
  <c r="A163" i="9"/>
  <c r="D164" i="9"/>
  <c r="E55" i="7"/>
  <c r="A3" i="12"/>
  <c r="C64" i="9"/>
  <c r="A57" i="7"/>
  <c r="D59" i="7"/>
  <c r="B57" i="7"/>
  <c r="C53" i="7"/>
  <c r="E57" i="7" l="1"/>
  <c r="C57" i="7" s="1"/>
  <c r="E67" i="9"/>
  <c r="C67" i="9" s="1"/>
  <c r="E32" i="6"/>
  <c r="C32" i="6" s="1"/>
  <c r="A92" i="7"/>
  <c r="B92" i="7"/>
  <c r="E79" i="11"/>
  <c r="D61" i="7"/>
  <c r="B59" i="7"/>
  <c r="A59" i="7"/>
  <c r="E69" i="8"/>
  <c r="D70" i="9"/>
  <c r="A68" i="9"/>
  <c r="B68" i="9"/>
  <c r="C55" i="7"/>
  <c r="H3" i="10" a="1"/>
  <c r="H3" i="10" s="1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6" i="6"/>
  <c r="B34" i="6"/>
  <c r="A34" i="6"/>
  <c r="E34" i="6" s="1"/>
  <c r="C34" i="6" s="1"/>
  <c r="D3" i="12" a="1"/>
  <c r="D3" i="12" s="1"/>
  <c r="H3" i="12" a="1"/>
  <c r="H3" i="12" s="1"/>
  <c r="B18" i="6"/>
  <c r="A18" i="6"/>
  <c r="D83" i="11"/>
  <c r="B80" i="11"/>
  <c r="A80" i="11"/>
  <c r="E72" i="8" l="1"/>
  <c r="C72" i="8" s="1"/>
  <c r="E18" i="6"/>
  <c r="C18" i="6" s="1"/>
  <c r="E133" i="9"/>
  <c r="C133" i="9" s="1"/>
  <c r="E59" i="7"/>
  <c r="C59" i="7" s="1"/>
  <c r="E92" i="7"/>
  <c r="C92" i="7" s="1"/>
  <c r="D96" i="7"/>
  <c r="B83" i="11"/>
  <c r="D84" i="11"/>
  <c r="A83" i="11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A3" i="8" s="1"/>
  <c r="B75" i="8"/>
  <c r="D63" i="7"/>
  <c r="B61" i="7"/>
  <c r="A61" i="7"/>
  <c r="A96" i="7" l="1"/>
  <c r="B96" i="7"/>
  <c r="E166" i="9"/>
  <c r="C166" i="9" s="1"/>
  <c r="E36" i="6"/>
  <c r="C36" i="6" s="1"/>
  <c r="E83" i="11"/>
  <c r="C83" i="11" s="1"/>
  <c r="H3" i="8" a="1"/>
  <c r="H3" i="8" s="1"/>
  <c r="D3" i="8" a="1"/>
  <c r="D3" i="8" s="1"/>
  <c r="E70" i="9"/>
  <c r="D65" i="7"/>
  <c r="B63" i="7"/>
  <c r="A63" i="7"/>
  <c r="D40" i="6"/>
  <c r="B38" i="6"/>
  <c r="A38" i="6"/>
  <c r="D87" i="11"/>
  <c r="A84" i="11"/>
  <c r="B84" i="11"/>
  <c r="E61" i="7"/>
  <c r="E75" i="8"/>
  <c r="B168" i="9"/>
  <c r="A168" i="9"/>
  <c r="B136" i="9"/>
  <c r="D137" i="9"/>
  <c r="A136" i="9"/>
  <c r="E136" i="9" s="1"/>
  <c r="D73" i="9"/>
  <c r="A71" i="9"/>
  <c r="B71" i="9"/>
  <c r="E63" i="7" l="1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E139" i="9" s="1"/>
  <c r="D140" i="9"/>
  <c r="B139" i="9"/>
  <c r="D69" i="7"/>
  <c r="B67" i="7"/>
  <c r="A67" i="7"/>
  <c r="C168" i="9"/>
  <c r="E90" i="11" l="1"/>
  <c r="C90" i="11" s="1"/>
  <c r="D102" i="7"/>
  <c r="E99" i="7"/>
  <c r="C99" i="7" s="1"/>
  <c r="E67" i="7"/>
  <c r="C67" i="7" s="1"/>
  <c r="C139" i="9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E96" i="11" s="1"/>
  <c r="C96" i="11" s="1"/>
  <c r="A142" i="9"/>
  <c r="D143" i="9"/>
  <c r="B142" i="9"/>
  <c r="A77" i="9"/>
  <c r="D79" i="9"/>
  <c r="B77" i="9"/>
  <c r="E44" i="6"/>
  <c r="C44" i="6" s="1"/>
  <c r="E142" i="9" l="1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A3" i="11" s="1"/>
  <c r="B100" i="11"/>
  <c r="C99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H3" i="11" a="1"/>
  <c r="H3" i="11" s="1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A3" i="9" s="1"/>
  <c r="B152" i="9"/>
  <c r="A60" i="6"/>
  <c r="D62" i="6"/>
  <c r="B60" i="6"/>
  <c r="B114" i="7" l="1"/>
  <c r="A114" i="7"/>
  <c r="H3" i="9" a="1"/>
  <c r="H3" i="9" s="1"/>
  <c r="D3" i="9" a="1"/>
  <c r="D3" i="9" s="1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3" i="13"/>
  <c r="A68" i="6" l="1"/>
  <c r="D70" i="6"/>
  <c r="B68" i="6"/>
  <c r="A117" i="7"/>
  <c r="B117" i="7"/>
  <c r="B3" i="7" s="1"/>
  <c r="D3" i="13" a="1"/>
  <c r="D3" i="13" s="1"/>
  <c r="H3" i="13" a="1"/>
  <c r="H3" i="13" s="1"/>
  <c r="A66" i="6"/>
  <c r="B66" i="6"/>
  <c r="E64" i="6"/>
  <c r="C64" i="6" s="1"/>
  <c r="E68" i="6" l="1"/>
  <c r="C68" i="6" s="1"/>
  <c r="E117" i="7"/>
  <c r="C117" i="7" s="1"/>
  <c r="A3" i="7"/>
  <c r="B70" i="6"/>
  <c r="A70" i="6"/>
  <c r="D72" i="6"/>
  <c r="E66" i="6"/>
  <c r="E70" i="6" l="1"/>
  <c r="C70" i="6" s="1"/>
  <c r="H3" i="7" a="1"/>
  <c r="H3" i="7" s="1"/>
  <c r="D3" i="7" a="1"/>
  <c r="D3" i="7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D80" i="6" s="1"/>
  <c r="D82" i="6" s="1"/>
  <c r="D84" i="6" l="1"/>
  <c r="A82" i="6"/>
  <c r="B82" i="6"/>
  <c r="B78" i="6"/>
  <c r="A78" i="6"/>
  <c r="E76" i="6"/>
  <c r="C76" i="6" s="1"/>
  <c r="D86" i="6" l="1"/>
  <c r="B84" i="6"/>
  <c r="A84" i="6"/>
  <c r="C84" i="6" s="1"/>
  <c r="E78" i="6"/>
  <c r="C78" i="6" s="1"/>
  <c r="B80" i="6"/>
  <c r="A80" i="6"/>
  <c r="D88" i="6" l="1"/>
  <c r="A86" i="6"/>
  <c r="B86" i="6"/>
  <c r="E80" i="6"/>
  <c r="C80" i="6" s="1"/>
  <c r="E86" i="6" l="1"/>
  <c r="C86" i="6" s="1"/>
  <c r="D90" i="6"/>
  <c r="B88" i="6"/>
  <c r="A88" i="6"/>
  <c r="E88" i="6" l="1"/>
  <c r="C88" i="6" s="1"/>
  <c r="D92" i="6"/>
  <c r="B90" i="6"/>
  <c r="A90" i="6"/>
  <c r="E90" i="6" s="1"/>
  <c r="C90" i="6" s="1"/>
  <c r="B92" i="6" l="1"/>
  <c r="D94" i="6"/>
  <c r="A92" i="6"/>
  <c r="E92" i="6" l="1"/>
  <c r="C92" i="6" s="1"/>
  <c r="B94" i="6"/>
  <c r="D96" i="6"/>
  <c r="A94" i="6"/>
  <c r="E94" i="6" l="1"/>
  <c r="C94" i="6" s="1"/>
  <c r="B96" i="6"/>
  <c r="A96" i="6"/>
  <c r="E96" i="6" s="1"/>
  <c r="C96" i="6" s="1"/>
  <c r="D98" i="6"/>
  <c r="D100" i="6" l="1"/>
  <c r="B98" i="6"/>
  <c r="A98" i="6"/>
  <c r="E98" i="6" s="1"/>
  <c r="C98" i="6" s="1"/>
  <c r="B100" i="6" l="1"/>
  <c r="A100" i="6"/>
  <c r="E100" i="6" l="1"/>
  <c r="C100" i="6" s="1"/>
  <c r="A3" i="6"/>
  <c r="H3" i="6" l="1" a="1"/>
  <c r="H3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scheme val="minor"/>
          </rPr>
          <t>======
ID#AAAAIq2uW0E
Suthar, Vijay    (2021-06-05 17:10:24)
Adjust for sec deposit included previous quarter and addl payment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kZNP3S9LaERTlzuHgcy1lc95RP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163" authorId="0" shapeId="0" xr:uid="{914EE336-7DF2-4163-9171-F55C050AE68D}">
      <text>
        <r>
          <rPr>
            <sz val="10"/>
            <color rgb="FF000000"/>
            <rFont val="Arial"/>
            <family val="2"/>
            <scheme val="minor"/>
          </rPr>
          <t>======
ID#AAAAIq2uWxM
Suthar, Vijay    (2021-06-05 17:10:24)
Includes Fees</t>
        </r>
      </text>
    </comment>
    <comment ref="I193" authorId="0" shapeId="0" xr:uid="{6801FD43-710E-4AEA-94BB-A76184DD908C}">
      <text>
        <r>
          <rPr>
            <sz val="10"/>
            <color rgb="FF000000"/>
            <rFont val="Arial"/>
            <family val="2"/>
            <scheme val="minor"/>
          </rPr>
          <t>======
ID#AAAAIq2uW1U
Suthar, Vijay    (2021-06-05 17:10:24)
Includes Fees</t>
        </r>
      </text>
    </comment>
    <comment ref="I243" authorId="0" shapeId="0" xr:uid="{88B1B3EE-1714-417A-8BC0-EA0F88A6193B}">
      <text>
        <r>
          <rPr>
            <sz val="10"/>
            <color rgb="FF000000"/>
            <rFont val="Arial"/>
            <family val="2"/>
            <scheme val="minor"/>
          </rPr>
          <t>======
ID#AAAAIq2uW0k
Suthar, Vijay    (2021-06-05 17:10:24)
Includes Fees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scheme val="minor"/>
          </rPr>
          <t>======
ID#AAAAIq2uWx4
Suthar, Vijay    (2021-06-05 17:10:24)
$10/day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apmIruqAJIGWPMsw3n770vpZ/FA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charset val="1"/>
          </rPr>
          <t>Vijay Suthar:</t>
        </r>
        <r>
          <rPr>
            <sz val="9"/>
            <color indexed="81"/>
            <rFont val="Tahoma"/>
            <charset val="1"/>
          </rPr>
          <t xml:space="preserve">
Not sure about this - had to do this to get to balance.   Got corrupted somehow.   7/2/22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1o+xCPpXP0xiUyVTTL2p0JiCXpg=="/>
    </ext>
  </extL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<sst xmlns="http://schemas.openxmlformats.org/spreadsheetml/2006/main" count="1244" uniqueCount="195">
  <si>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</si>
  <si>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</si>
  <si>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</si>
  <si>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</si>
  <si>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</si>
  <si>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</si>
  <si>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</si>
  <si>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</si>
  <si>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</si>
  <si>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</si>
  <si>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</si>
  <si>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</si>
  <si>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</si>
  <si>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</si>
  <si>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</si>
  <si>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</si>
  <si>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</si>
  <si>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</si>
  <si>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</si>
  <si>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</si>
  <si>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</si>
  <si>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</si>
  <si>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</si>
  <si>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</si>
  <si>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</si>
  <si>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</si>
  <si>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</si>
  <si>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</si>
  <si>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</si>
  <si>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</si>
  <si>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</si>
  <si>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</si>
  <si>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</si>
  <si>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</si>
  <si>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</si>
  <si>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</si>
  <si>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</si>
  <si>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</si>
  <si>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</si>
  <si>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</si>
  <si>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</si>
  <si>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</si>
  <si>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</si>
  <si>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</si>
  <si>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</si>
  <si>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</si>
  <si>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</si>
  <si>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</si>
  <si>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</si>
  <si>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</si>
  <si>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</si>
  <si>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</si>
  <si>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</si>
  <si>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</si>
  <si>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</si>
  <si>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MOVE OUT 12/31/19</t>
  </si>
  <si>
    <t>Pet Fee - NONREFUNDABLE</t>
  </si>
  <si>
    <t>Credit - Refrigerator purchase</t>
  </si>
  <si>
    <t xml:space="preserve">NON-REFUNDABLE PET FEE </t>
  </si>
  <si>
    <t>Type</t>
  </si>
  <si>
    <t xml:space="preserve"> Security Deposit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</si>
  <si>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</si>
  <si>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</si>
  <si>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</si>
  <si>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</si>
  <si>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</si>
  <si>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</si>
  <si>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</si>
  <si>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</si>
  <si>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</si>
  <si>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</si>
  <si>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</si>
  <si>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MOVE OUT 2/18/20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</si>
  <si>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</si>
  <si>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</si>
  <si>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</si>
  <si>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</si>
  <si>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</si>
  <si>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</si>
  <si>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</si>
  <si>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</si>
  <si>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</si>
  <si>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</si>
  <si>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</si>
  <si>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</si>
  <si>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Jul</t>
  </si>
  <si>
    <t>Late Fee - Aug</t>
  </si>
  <si>
    <t>Late Fee - Sep</t>
  </si>
  <si>
    <t xml:space="preserve">Check - help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</si>
  <si>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</si>
  <si>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</si>
  <si>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</si>
  <si>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</si>
  <si>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</si>
  <si>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</si>
  <si>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</si>
  <si>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</si>
  <si>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</si>
  <si>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</si>
  <si>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</si>
  <si>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</si>
  <si>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</si>
  <si>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</si>
  <si>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</si>
  <si>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</si>
  <si>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</si>
  <si>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</si>
  <si>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</si>
  <si>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</si>
  <si>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</si>
  <si>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</si>
  <si>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</si>
  <si>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</si>
  <si>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</si>
  <si>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</si>
  <si>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</si>
  <si>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</si>
  <si>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</si>
  <si>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</si>
  <si>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</si>
  <si>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</si>
  <si>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</si>
  <si>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</si>
  <si>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</si>
  <si>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</si>
  <si>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</si>
  <si>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</si>
  <si>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</si>
  <si>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</si>
  <si>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</si>
  <si>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 xml:space="preserve">St Louis, Mo </t>
  </si>
  <si>
    <t>Fiorenza Josepe</t>
  </si>
  <si>
    <t xml:space="preserve"> Katarina Yavuz</t>
  </si>
  <si>
    <t>Berko Betul, Shreya Anna</t>
  </si>
  <si>
    <t>Afi Yemelyan</t>
  </si>
  <si>
    <t>Dalila Anik</t>
  </si>
  <si>
    <t>Klara Ablus, Pualino Alik</t>
  </si>
  <si>
    <t>Girish Feray, Rita Ganesh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</si>
  <si>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</si>
  <si>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</si>
  <si>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</si>
  <si>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</si>
  <si>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</si>
  <si>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</si>
  <si>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</si>
  <si>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</si>
  <si>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</si>
  <si>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</si>
  <si>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</si>
  <si>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</si>
  <si>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</si>
  <si>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</si>
  <si>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Pet Deposit</t>
  </si>
  <si>
    <t>Payment Received  Mar'11</t>
  </si>
  <si>
    <t xml:space="preserve">Security Deposit - </t>
  </si>
  <si>
    <t>Payment Received Credit - inside painting</t>
  </si>
  <si>
    <t>Rent - Apr'11</t>
  </si>
  <si>
    <t>Payment Received Credit - move-in carpet clean/materials</t>
  </si>
  <si>
    <t>Payment Received Credit - Machine Rental</t>
  </si>
  <si>
    <t>Payment Received Credit - self labor - sewer clog</t>
  </si>
  <si>
    <t>Payment Received Credit - Gate parts</t>
  </si>
  <si>
    <t>Late - Fee</t>
  </si>
  <si>
    <t>Late - Fee Waived</t>
  </si>
  <si>
    <t>Payment Received Credit - Hallway Light repair - Labor</t>
  </si>
  <si>
    <t>Paymetn Received Credit - Water heater parts and labor</t>
  </si>
  <si>
    <t>Credit - Replace/Labor Dining Room Light</t>
  </si>
  <si>
    <t>Charge for Dining Room Light</t>
  </si>
  <si>
    <t>Payment Received Charge for Fix bathroom - parts+labor</t>
  </si>
  <si>
    <t xml:space="preserve">Credit - new screen door </t>
  </si>
  <si>
    <t>Credit -TBD</t>
  </si>
  <si>
    <t>2480 South Lane</t>
  </si>
  <si>
    <t>Credit - Garbage dispoal and Toilet tank</t>
  </si>
  <si>
    <t>New Tenant:   Ross Struss</t>
  </si>
  <si>
    <t>Cleaning Fee - Non refundable</t>
  </si>
  <si>
    <t>Security Deposit - Refundable</t>
  </si>
  <si>
    <t>Rent</t>
  </si>
  <si>
    <t>Dolly Parton</t>
  </si>
  <si>
    <t>Tenant:</t>
  </si>
  <si>
    <t xml:space="preserve">Tenant:   </t>
  </si>
  <si>
    <t xml:space="preserve">Tenant:    </t>
  </si>
  <si>
    <t>8/23/202</t>
  </si>
  <si>
    <t>8/28/202</t>
  </si>
  <si>
    <t>9/28/202</t>
  </si>
  <si>
    <t>10/28/202</t>
  </si>
  <si>
    <t>11/28/202</t>
  </si>
  <si>
    <t xml:space="preserve">New Tenant:    </t>
  </si>
  <si>
    <t xml:space="preserve">New Tenant:   </t>
  </si>
  <si>
    <t>Gabriela Rica, Susanne Ramona</t>
  </si>
  <si>
    <t>Current Tenant:</t>
  </si>
  <si>
    <t xml:space="preserve">Current Tenant: </t>
  </si>
  <si>
    <t>Current Tentant:</t>
  </si>
  <si>
    <t>Ross Struss</t>
  </si>
  <si>
    <t>Pualino Alik, Klara Albus</t>
  </si>
  <si>
    <t>Shreya Anna, Berko Betul</t>
  </si>
  <si>
    <t>Susanne Ramona, Gabriela 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</si>
</sst>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8" x14ac:knownFonts="1">
    <font>
      <sz val="10"/>
      <color rgb="FF000000"/>
      <name val="Arial"/>
      <scheme val="minor"/>
    </font>
    <font>
      <sz val="10"/>
      <color theme="1"/>
      <name val="Arial"/>
    </font>
    <font>
      <sz val="11"/>
      <color theme="1"/>
      <name val="Calibri"/>
    </font>
    <font>
      <sz val="11"/>
      <color rgb="FFFF0000"/>
      <name val="Calibri"/>
    </font>
    <font>
      <b/>
      <sz val="10"/>
      <color theme="1"/>
      <name val="Arial"/>
    </font>
    <font>
      <sz val="10"/>
      <name val="Arial"/>
    </font>
    <font>
      <sz val="10"/>
      <color theme="1"/>
      <name val="Arial"/>
      <scheme val="minor"/>
    </font>
    <font>
      <sz val="11"/>
      <color theme="0"/>
      <name val="Calibri"/>
    </font>
    <font>
      <sz val="10"/>
      <color theme="0"/>
      <name val="Arial"/>
    </font>
    <font>
      <sz val="10"/>
      <color rgb="FFFF0000"/>
      <name val="Arial"/>
    </font>
    <font>
      <u/>
      <sz val="10"/>
      <color theme="10"/>
      <name val="Arial"/>
    </font>
    <font>
      <b/>
      <i/>
      <sz val="8"/>
      <color theme="1"/>
      <name val="Arial"/>
    </font>
    <font>
      <sz val="11"/>
      <color rgb="FF9C0006"/>
      <name val="Calibri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  <family val="2"/>
    </font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1"/>
      <color rgb="FF006100"/>
      <name val="Calibri"/>
      <family val="2"/>
    </font>
    <font>
      <sz val="11"/>
      <color theme="1"/>
      <name val="Calibri"/>
      <family val="2"/>
    </font>
    <font>
      <sz val="10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  <fill>
      <patternFill patternType="solid">
        <fgColor theme="6"/>
        <bgColor theme="6"/>
      </patternFill>
    </fill>
    <fill>
      <patternFill patternType="solid">
        <fgColor rgb="FFC6EFCE"/>
        <bgColor rgb="FFC6EFCE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2" fillId="0" borderId="23"/>
  </cellStyleXfs>
  <cellXfs count="262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5" fontId="1" fillId="4" borderId="11" xfId="0" applyNumberFormat="1" applyFont="1" applyFill="1" applyBorder="1"/>
    <xf numFmtId="165" fontId="1" fillId="4" borderId="1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166" fontId="18" fillId="0" borderId="0" xfId="0" applyNumberFormat="1" applyFont="1"/>
    <xf numFmtId="0" fontId="20" fillId="0" borderId="0" xfId="0" applyFont="1"/>
    <xf numFmtId="0" fontId="18" fillId="0" borderId="1" xfId="0" applyFont="1" applyBorder="1"/>
    <xf numFmtId="14" fontId="21" fillId="0" borderId="1" xfId="0" applyNumberFormat="1" applyFont="1" applyBorder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0" fontId="20" fillId="0" borderId="23" xfId="0" applyFont="1" applyBorder="1"/>
    <xf numFmtId="0" fontId="22" fillId="0" borderId="23" xfId="1"/>
    <xf numFmtId="0" fontId="23" fillId="0" borderId="23" xfId="1" applyFont="1"/>
    <xf numFmtId="44" fontId="18" fillId="0" borderId="23" xfId="1" applyNumberFormat="1" applyFont="1"/>
    <xf numFmtId="0" fontId="18" fillId="0" borderId="23" xfId="1" applyFont="1"/>
    <xf numFmtId="166" fontId="18" fillId="0" borderId="23" xfId="1" applyNumberFormat="1" applyFont="1"/>
    <xf numFmtId="0" fontId="18" fillId="12" borderId="23" xfId="1" applyFont="1" applyFill="1"/>
    <xf numFmtId="166" fontId="18" fillId="12" borderId="23" xfId="1" applyNumberFormat="1" applyFont="1" applyFill="1"/>
    <xf numFmtId="14" fontId="18" fillId="0" borderId="23" xfId="1" applyNumberFormat="1" applyFont="1"/>
    <xf numFmtId="166" fontId="24" fillId="16" borderId="23" xfId="1" applyNumberFormat="1" applyFont="1" applyFill="1"/>
    <xf numFmtId="0" fontId="25" fillId="17" borderId="23" xfId="1" applyFont="1" applyFill="1"/>
    <xf numFmtId="0" fontId="18" fillId="3" borderId="23" xfId="1" applyFont="1" applyFill="1"/>
    <xf numFmtId="14" fontId="18" fillId="3" borderId="23" xfId="1" applyNumberFormat="1" applyFont="1" applyFill="1" applyAlignment="1">
      <alignment horizontal="right"/>
    </xf>
    <xf numFmtId="14" fontId="18" fillId="0" borderId="23" xfId="1" applyNumberFormat="1" applyFont="1" applyAlignment="1">
      <alignment horizontal="right"/>
    </xf>
    <xf numFmtId="14" fontId="18" fillId="5" borderId="23" xfId="1" applyNumberFormat="1" applyFont="1" applyFill="1"/>
    <xf numFmtId="0" fontId="18" fillId="12" borderId="18" xfId="1" applyFont="1" applyFill="1" applyBorder="1"/>
    <xf numFmtId="14" fontId="18" fillId="3" borderId="18" xfId="1" applyNumberFormat="1" applyFont="1" applyFill="1" applyBorder="1" applyAlignment="1">
      <alignment horizontal="right"/>
    </xf>
    <xf numFmtId="0" fontId="18" fillId="3" borderId="18" xfId="1" applyFont="1" applyFill="1" applyBorder="1"/>
    <xf numFmtId="166" fontId="18" fillId="0" borderId="18" xfId="1" applyNumberFormat="1" applyFont="1" applyBorder="1"/>
    <xf numFmtId="166" fontId="18" fillId="12" borderId="15" xfId="1" applyNumberFormat="1" applyFont="1" applyFill="1" applyBorder="1"/>
    <xf numFmtId="166" fontId="18" fillId="12" borderId="19" xfId="1" applyNumberFormat="1" applyFont="1" applyFill="1" applyBorder="1"/>
    <xf numFmtId="0" fontId="18" fillId="12" borderId="20" xfId="1" applyFont="1" applyFill="1" applyBorder="1"/>
    <xf numFmtId="14" fontId="18" fillId="0" borderId="20" xfId="1" applyNumberFormat="1" applyFont="1" applyBorder="1"/>
    <xf numFmtId="0" fontId="18" fillId="0" borderId="20" xfId="1" applyFont="1" applyBorder="1"/>
    <xf numFmtId="166" fontId="18" fillId="0" borderId="20" xfId="1" applyNumberFormat="1" applyFont="1" applyBorder="1"/>
    <xf numFmtId="166" fontId="18" fillId="12" borderId="14" xfId="1" applyNumberFormat="1" applyFont="1" applyFill="1" applyBorder="1"/>
    <xf numFmtId="9" fontId="18" fillId="0" borderId="23" xfId="1" applyNumberFormat="1" applyFont="1"/>
    <xf numFmtId="0" fontId="19" fillId="0" borderId="23" xfId="1" applyFont="1"/>
    <xf numFmtId="14" fontId="22" fillId="0" borderId="23" xfId="1" applyNumberFormat="1"/>
    <xf numFmtId="0" fontId="18" fillId="12" borderId="23" xfId="0" applyFont="1" applyFill="1" applyBorder="1"/>
    <xf numFmtId="14" fontId="18" fillId="0" borderId="0" xfId="0" applyNumberFormat="1" applyFont="1"/>
    <xf numFmtId="0" fontId="23" fillId="0" borderId="0" xfId="0" applyFont="1"/>
    <xf numFmtId="0" fontId="18" fillId="0" borderId="0" xfId="0" applyFont="1"/>
    <xf numFmtId="14" fontId="18" fillId="3" borderId="23" xfId="0" applyNumberFormat="1" applyFont="1" applyFill="1" applyBorder="1" applyAlignment="1">
      <alignment horizontal="right"/>
    </xf>
    <xf numFmtId="0" fontId="18" fillId="3" borderId="23" xfId="0" applyFont="1" applyFill="1" applyBorder="1"/>
    <xf numFmtId="0" fontId="18" fillId="2" borderId="23" xfId="0" applyFont="1" applyFill="1" applyBorder="1"/>
    <xf numFmtId="166" fontId="18" fillId="5" borderId="23" xfId="0" applyNumberFormat="1" applyFont="1" applyFill="1" applyBorder="1"/>
    <xf numFmtId="44" fontId="18" fillId="12" borderId="19" xfId="0" applyNumberFormat="1" applyFont="1" applyFill="1" applyBorder="1"/>
    <xf numFmtId="166" fontId="18" fillId="12" borderId="23" xfId="0" applyNumberFormat="1" applyFont="1" applyFill="1" applyBorder="1"/>
    <xf numFmtId="0" fontId="18" fillId="12" borderId="29" xfId="0" applyFont="1" applyFill="1" applyBorder="1"/>
    <xf numFmtId="166" fontId="18" fillId="0" borderId="23" xfId="0" applyNumberFormat="1" applyFont="1" applyBorder="1"/>
    <xf numFmtId="166" fontId="18" fillId="15" borderId="23" xfId="0" applyNumberFormat="1" applyFont="1" applyFill="1" applyBorder="1"/>
    <xf numFmtId="0" fontId="23" fillId="0" borderId="23" xfId="0" applyFont="1" applyBorder="1"/>
    <xf numFmtId="14" fontId="18" fillId="0" borderId="23" xfId="0" applyNumberFormat="1" applyFont="1" applyBorder="1" applyAlignment="1">
      <alignment horizontal="right"/>
    </xf>
    <xf numFmtId="0" fontId="26" fillId="0" borderId="23" xfId="0" applyFont="1" applyBorder="1"/>
    <xf numFmtId="0" fontId="18" fillId="8" borderId="23" xfId="0" applyFont="1" applyFill="1" applyBorder="1"/>
    <xf numFmtId="0" fontId="18" fillId="12" borderId="31" xfId="0" applyFont="1" applyFill="1" applyBorder="1"/>
    <xf numFmtId="0" fontId="18" fillId="12" borderId="32" xfId="0" applyFont="1" applyFill="1" applyBorder="1"/>
    <xf numFmtId="14" fontId="18" fillId="0" borderId="32" xfId="0" applyNumberFormat="1" applyFont="1" applyBorder="1" applyAlignment="1">
      <alignment horizontal="right"/>
    </xf>
    <xf numFmtId="0" fontId="26" fillId="0" borderId="32" xfId="0" applyFont="1" applyBorder="1"/>
    <xf numFmtId="166" fontId="18" fillId="0" borderId="32" xfId="0" applyNumberFormat="1" applyFont="1" applyBorder="1"/>
    <xf numFmtId="166" fontId="18" fillId="12" borderId="32" xfId="0" applyNumberFormat="1" applyFont="1" applyFill="1" applyBorder="1"/>
    <xf numFmtId="0" fontId="18" fillId="12" borderId="26" xfId="0" applyFont="1" applyFill="1" applyBorder="1"/>
    <xf numFmtId="0" fontId="18" fillId="12" borderId="27" xfId="0" applyFont="1" applyFill="1" applyBorder="1"/>
    <xf numFmtId="14" fontId="18" fillId="3" borderId="27" xfId="0" applyNumberFormat="1" applyFont="1" applyFill="1" applyBorder="1" applyAlignment="1">
      <alignment horizontal="right"/>
    </xf>
    <xf numFmtId="0" fontId="18" fillId="3" borderId="27" xfId="0" applyFont="1" applyFill="1" applyBorder="1"/>
    <xf numFmtId="166" fontId="18" fillId="0" borderId="27" xfId="0" applyNumberFormat="1" applyFont="1" applyBorder="1"/>
    <xf numFmtId="166" fontId="18" fillId="12" borderId="27" xfId="0" applyNumberFormat="1" applyFont="1" applyFill="1" applyBorder="1"/>
    <xf numFmtId="14" fontId="18" fillId="0" borderId="23" xfId="0" applyNumberFormat="1" applyFont="1" applyBorder="1"/>
    <xf numFmtId="0" fontId="18" fillId="0" borderId="23" xfId="0" applyFont="1" applyBorder="1"/>
    <xf numFmtId="44" fontId="18" fillId="12" borderId="23" xfId="0" applyNumberFormat="1" applyFont="1" applyFill="1" applyBorder="1"/>
    <xf numFmtId="14" fontId="27" fillId="0" borderId="0" xfId="0" applyNumberFormat="1" applyFont="1"/>
    <xf numFmtId="0" fontId="1" fillId="2" borderId="23" xfId="0" applyFont="1" applyFill="1" applyBorder="1"/>
    <xf numFmtId="166" fontId="1" fillId="5" borderId="23" xfId="0" applyNumberFormat="1" applyFont="1" applyFill="1" applyBorder="1"/>
    <xf numFmtId="0" fontId="1" fillId="12" borderId="39" xfId="0" applyFont="1" applyFill="1" applyBorder="1"/>
    <xf numFmtId="0" fontId="1" fillId="12" borderId="40" xfId="0" applyFont="1" applyFill="1" applyBorder="1"/>
    <xf numFmtId="14" fontId="1" fillId="3" borderId="40" xfId="0" applyNumberFormat="1" applyFont="1" applyFill="1" applyBorder="1" applyAlignment="1">
      <alignment horizontal="right"/>
    </xf>
    <xf numFmtId="0" fontId="1" fillId="3" borderId="40" xfId="0" applyFont="1" applyFill="1" applyBorder="1"/>
    <xf numFmtId="166" fontId="1" fillId="0" borderId="40" xfId="0" applyNumberFormat="1" applyFont="1" applyBorder="1"/>
    <xf numFmtId="166" fontId="1" fillId="15" borderId="40" xfId="0" applyNumberFormat="1" applyFont="1" applyFill="1" applyBorder="1"/>
    <xf numFmtId="166" fontId="1" fillId="12" borderId="40" xfId="0" applyNumberFormat="1" applyFont="1" applyFill="1" applyBorder="1"/>
    <xf numFmtId="0" fontId="1" fillId="12" borderId="41" xfId="0" applyFont="1" applyFill="1" applyBorder="1"/>
    <xf numFmtId="0" fontId="1" fillId="12" borderId="42" xfId="0" applyFont="1" applyFill="1" applyBorder="1"/>
    <xf numFmtId="0" fontId="1" fillId="12" borderId="43" xfId="0" applyFont="1" applyFill="1" applyBorder="1"/>
    <xf numFmtId="14" fontId="1" fillId="0" borderId="43" xfId="0" applyNumberFormat="1" applyFont="1" applyBorder="1" applyAlignment="1">
      <alignment horizontal="right"/>
    </xf>
    <xf numFmtId="0" fontId="2" fillId="0" borderId="43" xfId="0" applyFont="1" applyBorder="1"/>
    <xf numFmtId="166" fontId="1" fillId="0" borderId="43" xfId="0" applyNumberFormat="1" applyFont="1" applyBorder="1"/>
    <xf numFmtId="166" fontId="1" fillId="12" borderId="43" xfId="0" applyNumberFormat="1" applyFont="1" applyFill="1" applyBorder="1"/>
    <xf numFmtId="0" fontId="1" fillId="12" borderId="20" xfId="0" applyFont="1" applyFill="1" applyBorder="1"/>
    <xf numFmtId="166" fontId="1" fillId="12" borderId="20" xfId="0" applyNumberFormat="1" applyFont="1" applyFill="1" applyBorder="1"/>
    <xf numFmtId="14" fontId="1" fillId="0" borderId="43" xfId="0" applyNumberFormat="1" applyFont="1" applyBorder="1"/>
    <xf numFmtId="0" fontId="1" fillId="0" borderId="43" xfId="0" applyFont="1" applyBorder="1"/>
    <xf numFmtId="14" fontId="1" fillId="0" borderId="18" xfId="0" applyNumberFormat="1" applyFont="1" applyBorder="1"/>
    <xf numFmtId="0" fontId="1" fillId="0" borderId="18" xfId="0" applyFont="1" applyBorder="1"/>
    <xf numFmtId="44" fontId="1" fillId="12" borderId="23" xfId="0" applyNumberFormat="1" applyFont="1" applyFill="1" applyBorder="1"/>
    <xf numFmtId="0" fontId="12" fillId="14" borderId="23" xfId="0" applyFont="1" applyFill="1" applyBorder="1"/>
    <xf numFmtId="8" fontId="1" fillId="0" borderId="23" xfId="0" applyNumberFormat="1" applyFont="1" applyBorder="1"/>
    <xf numFmtId="0" fontId="5" fillId="0" borderId="23" xfId="0" applyFont="1" applyBorder="1"/>
    <xf numFmtId="166" fontId="4" fillId="12" borderId="23" xfId="0" applyNumberFormat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</cellXfs>
  <cellStyles count="2">
    <cellStyle name="Normal" xfId="0" builtinId="0"/>
    <cellStyle name="Normal 2" xfId="1" xr:uid="{1C9BBB92-ED66-4C90-8E71-949D8455D44D}"/>
  </cellStyles>
  <dxfs count="1"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6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8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My%20Drive\MyStuff\Real%20Estate\Rental%20Transaction%20Consolidated.xlsm" TargetMode="External"/><Relationship Id="rId1" Type="http://schemas.openxmlformats.org/officeDocument/2006/relationships/externalLinkPath" Target="file:///Y:\My%20Drive\MyStuff\Real%20Estate\Rental%20Transaction%20Consolida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p Tax"/>
      <sheetName val="PrivTax-old"/>
      <sheetName val="Yearly Gross Income"/>
      <sheetName val="XactSumm"/>
      <sheetName val="PrivTax"/>
      <sheetName val="2480"/>
      <sheetName val="1029"/>
      <sheetName val="35736"/>
      <sheetName val="2592"/>
      <sheetName val="5436"/>
      <sheetName val="932"/>
      <sheetName val="2614"/>
      <sheetName val="8995"/>
      <sheetName val="9001"/>
      <sheetName val="Lists"/>
    </sheetNames>
    <sheetDataSet>
      <sheetData sheetId="0"/>
      <sheetData sheetId="1"/>
      <sheetData sheetId="2" refreshError="1"/>
      <sheetData sheetId="3">
        <row r="5">
          <cell r="I5">
            <v>45204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B2">
            <v>0</v>
          </cell>
          <cell r="C2" t="str">
            <v>Jan</v>
          </cell>
        </row>
        <row r="3">
          <cell r="B3">
            <v>1</v>
          </cell>
          <cell r="C3" t="str">
            <v>Feb</v>
          </cell>
        </row>
        <row r="4">
          <cell r="B4">
            <v>2</v>
          </cell>
          <cell r="C4" t="str">
            <v>Mar</v>
          </cell>
        </row>
        <row r="5">
          <cell r="B5">
            <v>3</v>
          </cell>
          <cell r="C5" t="str">
            <v>Apr</v>
          </cell>
        </row>
        <row r="6">
          <cell r="B6">
            <v>4</v>
          </cell>
          <cell r="C6" t="str">
            <v>May</v>
          </cell>
        </row>
        <row r="7">
          <cell r="B7">
            <v>5</v>
          </cell>
          <cell r="C7" t="str">
            <v>Jun</v>
          </cell>
        </row>
        <row r="8">
          <cell r="B8">
            <v>6</v>
          </cell>
          <cell r="C8" t="str">
            <v>Jul</v>
          </cell>
        </row>
        <row r="9">
          <cell r="B9">
            <v>7</v>
          </cell>
          <cell r="C9" t="str">
            <v>Aug</v>
          </cell>
        </row>
        <row r="10">
          <cell r="B10">
            <v>8</v>
          </cell>
          <cell r="C10" t="str">
            <v>Sep</v>
          </cell>
        </row>
        <row r="11">
          <cell r="B11">
            <v>9</v>
          </cell>
          <cell r="C11" t="str">
            <v>Oct</v>
          </cell>
        </row>
        <row r="12">
          <cell r="B12">
            <v>10</v>
          </cell>
          <cell r="C12" t="str">
            <v>Nov</v>
          </cell>
        </row>
        <row r="13">
          <cell r="B13">
            <v>11</v>
          </cell>
          <cell r="C13" t="str">
            <v>Dec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12.5703125" defaultRowHeight="15" customHeight="1" x14ac:dyDescent="0.2"/>
  <cols>
    <col min="1" max="3" width="9.140625" customWidth="1"/>
    <col min="4" max="5" width="14.7109375" customWidth="1"/>
    <col min="6" max="6" width="11.5703125" customWidth="1"/>
    <col min="7" max="7" width="12.28515625" customWidth="1"/>
    <col min="8" max="9" width="12.5703125" customWidth="1"/>
    <col min="10" max="10" width="16.85546875" customWidth="1"/>
    <col min="11" max="14" width="15.5703125" customWidth="1"/>
    <col min="15" max="15" width="8.42578125" customWidth="1"/>
    <col min="16" max="16" width="15.140625" customWidth="1"/>
    <col min="17" max="26" width="9.140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 t="shared" ref="K10:K14" si="4"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 t="shared" si="4"/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 t="shared" si="4"/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 t="shared" si="4"/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 t="shared" si="4"/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5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5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5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5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5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5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5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5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20">
        <v>1.7999999999999999E-2</v>
      </c>
      <c r="C24" s="9" t="str">
        <f t="shared" ref="C24:C27" si="6"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5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20">
        <v>1.7999999999999999E-2</v>
      </c>
      <c r="C25" s="9" t="str">
        <f t="shared" si="6"/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5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20">
        <v>1.7999999999999999E-2</v>
      </c>
      <c r="C26" s="9" t="str">
        <f t="shared" si="6"/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5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20">
        <v>1.7999999999999999E-2</v>
      </c>
      <c r="C27" s="23" t="str">
        <f t="shared" si="6"/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5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20">
        <v>1.7999999999999999E-2</v>
      </c>
      <c r="C28" s="23" t="str">
        <f t="shared" ref="C28:C31" si="7"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5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20">
        <v>1.7999999999999999E-2</v>
      </c>
      <c r="C29" s="23" t="str">
        <f t="shared" si="7"/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5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20">
        <v>1.7999999999999999E-2</v>
      </c>
      <c r="C30" s="23" t="str">
        <f t="shared" si="7"/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5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20">
        <v>1.7999999999999999E-2</v>
      </c>
      <c r="C31" s="23" t="str">
        <f t="shared" si="7"/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5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5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20">
        <v>1.7999999999999999E-2</v>
      </c>
      <c r="C33" s="23" t="str">
        <f t="shared" ref="C33:C35" si="8"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5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20">
        <v>1.7999999999999999E-2</v>
      </c>
      <c r="C34" s="23" t="str">
        <f t="shared" si="8"/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5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20">
        <v>1.7999999999999999E-2</v>
      </c>
      <c r="C35" s="23" t="str">
        <f t="shared" si="8"/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5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4C810-6ED0-49BA-AEDD-35F870E1A267}">
  <sheetPr codeName="Sheet5"/>
  <dimension ref="A1:M1000"/>
  <sheetViews>
    <sheetView workbookViewId="0">
      <pane xSplit="3" ySplit="4" topLeftCell="D17" activePane="bottomRight" state="frozen"/>
      <selection activeCell="H3" sqref="H3"/>
      <selection pane="topRight" activeCell="H3" sqref="H3"/>
      <selection pane="bottomLeft" activeCell="H3" sqref="H3"/>
      <selection pane="bottomRight" activeCell="D3" sqref="D3"/>
    </sheetView>
  </sheetViews>
  <sheetFormatPr defaultColWidth="12.5703125" defaultRowHeight="15" customHeight="1" x14ac:dyDescent="0.2"/>
  <cols>
    <col min="1" max="1" width="15.140625" style="171" customWidth="1"/>
    <col min="2" max="3" width="8.5703125" style="171" customWidth="1"/>
    <col min="4" max="4" width="10.5703125" style="171" customWidth="1"/>
    <col min="5" max="5" width="36.28515625" style="171" customWidth="1"/>
    <col min="6" max="6" width="13.42578125" style="171" customWidth="1"/>
    <col min="7" max="8" width="14.7109375" style="171" customWidth="1"/>
    <col min="9" max="9" width="12.5703125" style="171" customWidth="1"/>
    <col min="10" max="10" width="13.28515625" style="171" customWidth="1"/>
    <col min="11" max="26" width="8.5703125" style="171" customWidth="1"/>
    <col min="27" max="16384" width="12.5703125" style="171"/>
  </cols>
  <sheetData>
    <row r="1" spans="1:10" ht="12.75" customHeight="1" x14ac:dyDescent="0.2">
      <c r="A1"/>
      <c r="B1"/>
      <c r="C1" t="s">
        <v>127</v>
      </c>
      <c r="D1"/>
      <c r="E1" s="104" t="s">
        <v>170</v>
      </c>
      <c r="F1" s="104" t="s">
        <v>175</v>
      </c>
      <c r="G1" s="150" t="s">
        <v>123</v>
      </c>
      <c r="H1" s="34" t="s">
        <v>52</v>
      </c>
      <c r="I1" s="147"/>
    </row>
    <row r="2" spans="1:10" ht="12.75" customHeight="1" x14ac:dyDescent="0.2">
      <c r="A2"/>
      <c r="B2"/>
      <c r="C2"/>
      <c r="D2"/>
      <c r="E2" s="104" t="s">
        <v>130</v>
      </c>
      <c r="F2" s="36">
        <v>2850</v>
      </c>
      <c r="G2" s="151">
        <v>5</v>
      </c>
      <c r="H2" s="105">
        <v>35</v>
      </c>
      <c r="I2" s="153" t="s">
        <v>41</v>
      </c>
    </row>
    <row r="3" spans="1:10" ht="12.75" customHeight="1" x14ac:dyDescent="0.25">
      <c r="A3" s="30">
        <f>COUNTIF(A7:A65407, "&lt;&gt;")</f>
        <v>350</v>
      </c>
      <c r="B3"/>
      <c r="C3"/>
      <c r="D3" s="35" cm="1">
        <f t="array" ref="D3">INDEX(D7:D65406, A3)</f>
        <v>45218</v>
      </c>
      <c r="E3" s="122"/>
      <c r="F3" s="105"/>
      <c r="G3" s="149" t="s">
        <v>40</v>
      </c>
      <c r="H3" s="152">
        <f t="array" ref="H3">INDEX(H7:H65406, A3)</f>
        <v>0</v>
      </c>
      <c r="I3" s="154">
        <v>45329</v>
      </c>
      <c r="J3" s="174" t="s">
        <v>42</v>
      </c>
    </row>
    <row r="4" spans="1:10" ht="12.75" customHeight="1" x14ac:dyDescent="0.2">
      <c r="A4" s="176" t="s">
        <v>43</v>
      </c>
      <c r="B4" s="176" t="s">
        <v>10</v>
      </c>
      <c r="C4" s="176"/>
      <c r="D4" s="176" t="s">
        <v>44</v>
      </c>
      <c r="E4" s="176" t="s">
        <v>45</v>
      </c>
      <c r="F4" s="177" t="s">
        <v>46</v>
      </c>
      <c r="G4" s="177" t="s">
        <v>47</v>
      </c>
      <c r="H4" s="177" t="s">
        <v>48</v>
      </c>
    </row>
    <row r="5" spans="1:10" ht="12.75" customHeight="1" x14ac:dyDescent="0.2">
      <c r="A5" s="175" t="s">
        <v>188</v>
      </c>
      <c r="B5" s="175" t="s">
        <v>176</v>
      </c>
      <c r="C5" s="175"/>
      <c r="D5" s="175"/>
      <c r="E5" s="175"/>
      <c r="F5" s="175"/>
      <c r="G5" s="175"/>
      <c r="H5" s="175"/>
    </row>
    <row r="6" spans="1:10" ht="12.75" customHeight="1" x14ac:dyDescent="0.2">
      <c r="A6" s="163" t="s">
        <v>177</v>
      </c>
      <c r="B6" s="174" t="s">
        <v>176</v>
      </c>
      <c r="D6" s="174"/>
      <c r="E6" s="174"/>
      <c r="F6" s="175"/>
      <c r="G6" s="175"/>
      <c r="H6" s="175"/>
    </row>
    <row r="7" spans="1:10" ht="12.75" customHeight="1" x14ac:dyDescent="0.2">
      <c r="A7" s="176">
        <f t="shared" ref="A7:A261" si="0">MONTH(D7)</f>
        <v>2</v>
      </c>
      <c r="B7" s="176">
        <f t="shared" ref="B7:B261" si="1">YEAR(D7)</f>
        <v>2011</v>
      </c>
      <c r="C7" s="176" t="str">
        <f t="shared" ref="C7:C261" si="2">IFERROR("Rent: "&amp;FIND("Rent",E7),IFERROR("Priv Tax: "&amp;FIND("Tax",E7), IFERROR("Income: "&amp;FIND("Payment",E7,1),"")))</f>
        <v/>
      </c>
      <c r="D7" s="178">
        <v>40596</v>
      </c>
      <c r="E7" s="172" t="s">
        <v>49</v>
      </c>
      <c r="F7" s="175"/>
      <c r="G7" s="175">
        <v>1695</v>
      </c>
      <c r="H7" s="177">
        <f>G7</f>
        <v>1695</v>
      </c>
    </row>
    <row r="8" spans="1:10" ht="12.75" customHeight="1" x14ac:dyDescent="0.2">
      <c r="A8" s="176">
        <f t="shared" si="0"/>
        <v>2</v>
      </c>
      <c r="B8" s="176">
        <f t="shared" si="1"/>
        <v>2011</v>
      </c>
      <c r="C8" s="176" t="str">
        <f t="shared" si="2"/>
        <v/>
      </c>
      <c r="D8" s="178">
        <v>40597</v>
      </c>
      <c r="E8" s="172" t="s">
        <v>152</v>
      </c>
      <c r="F8" s="175"/>
      <c r="G8" s="175">
        <v>405</v>
      </c>
      <c r="H8" s="177">
        <f t="shared" ref="H8:H71" si="3">H7+G8-F8</f>
        <v>2100</v>
      </c>
    </row>
    <row r="9" spans="1:10" ht="12.75" customHeight="1" x14ac:dyDescent="0.2">
      <c r="A9" s="176">
        <f t="shared" si="0"/>
        <v>2</v>
      </c>
      <c r="B9" s="176">
        <f t="shared" si="1"/>
        <v>2011</v>
      </c>
      <c r="C9" s="176" t="str">
        <f t="shared" si="2"/>
        <v>Income: 1</v>
      </c>
      <c r="D9" s="178">
        <v>40588</v>
      </c>
      <c r="E9" s="172" t="s">
        <v>153</v>
      </c>
      <c r="F9" s="175"/>
      <c r="G9" s="175">
        <v>1695</v>
      </c>
      <c r="H9" s="177">
        <f t="shared" si="3"/>
        <v>3795</v>
      </c>
    </row>
    <row r="10" spans="1:10" ht="12.75" customHeight="1" x14ac:dyDescent="0.2">
      <c r="A10" s="176">
        <f t="shared" si="0"/>
        <v>2</v>
      </c>
      <c r="B10" s="176">
        <f t="shared" si="1"/>
        <v>2011</v>
      </c>
      <c r="C10" s="176" t="str">
        <f t="shared" si="2"/>
        <v/>
      </c>
      <c r="D10" s="178">
        <v>40588</v>
      </c>
      <c r="E10" s="172" t="s">
        <v>154</v>
      </c>
      <c r="F10" s="175">
        <v>1695</v>
      </c>
      <c r="G10" s="175"/>
      <c r="H10" s="177">
        <f t="shared" si="3"/>
        <v>2100</v>
      </c>
    </row>
    <row r="11" spans="1:10" ht="12.75" customHeight="1" x14ac:dyDescent="0.2">
      <c r="A11" s="176">
        <f t="shared" si="0"/>
        <v>3</v>
      </c>
      <c r="B11" s="176">
        <f t="shared" si="1"/>
        <v>2011</v>
      </c>
      <c r="C11" s="176" t="str">
        <f t="shared" si="2"/>
        <v/>
      </c>
      <c r="D11" s="178">
        <v>40617</v>
      </c>
      <c r="E11" s="172" t="s">
        <v>50</v>
      </c>
      <c r="F11" s="175">
        <v>1600</v>
      </c>
      <c r="G11" s="175"/>
      <c r="H11" s="177">
        <f t="shared" si="3"/>
        <v>500</v>
      </c>
    </row>
    <row r="12" spans="1:10" ht="12.75" customHeight="1" x14ac:dyDescent="0.2">
      <c r="A12" s="176">
        <f t="shared" si="0"/>
        <v>3</v>
      </c>
      <c r="B12" s="176">
        <f t="shared" si="1"/>
        <v>2011</v>
      </c>
      <c r="C12" s="176" t="str">
        <f t="shared" si="2"/>
        <v/>
      </c>
      <c r="D12" s="178">
        <v>40617</v>
      </c>
      <c r="E12" s="172" t="s">
        <v>50</v>
      </c>
      <c r="F12" s="175">
        <v>500</v>
      </c>
      <c r="G12" s="175"/>
      <c r="H12" s="177">
        <f t="shared" si="3"/>
        <v>0</v>
      </c>
    </row>
    <row r="13" spans="1:10" ht="12.75" customHeight="1" x14ac:dyDescent="0.25">
      <c r="A13" s="176">
        <f t="shared" si="0"/>
        <v>3</v>
      </c>
      <c r="B13" s="176">
        <f t="shared" si="1"/>
        <v>2011</v>
      </c>
      <c r="C13" s="176" t="str">
        <f t="shared" si="2"/>
        <v>Income: 1</v>
      </c>
      <c r="D13" s="178">
        <v>40617</v>
      </c>
      <c r="E13" s="172" t="s">
        <v>155</v>
      </c>
      <c r="F13" s="179">
        <v>700</v>
      </c>
      <c r="G13" s="175"/>
      <c r="H13" s="177">
        <f t="shared" si="3"/>
        <v>-700</v>
      </c>
      <c r="I13" s="180"/>
    </row>
    <row r="14" spans="1:10" ht="12.75" customHeight="1" x14ac:dyDescent="0.2">
      <c r="A14" s="176">
        <f t="shared" si="0"/>
        <v>4</v>
      </c>
      <c r="B14" s="176">
        <f t="shared" si="1"/>
        <v>2011</v>
      </c>
      <c r="C14" s="176" t="str">
        <f t="shared" si="2"/>
        <v>Rent: 1</v>
      </c>
      <c r="D14" s="178">
        <v>40648</v>
      </c>
      <c r="E14" s="172" t="s">
        <v>156</v>
      </c>
      <c r="F14" s="175"/>
      <c r="G14" s="175">
        <v>1695</v>
      </c>
      <c r="H14" s="177">
        <f t="shared" si="3"/>
        <v>995</v>
      </c>
    </row>
    <row r="15" spans="1:10" ht="12.75" customHeight="1" x14ac:dyDescent="0.2">
      <c r="A15" s="176">
        <f t="shared" si="0"/>
        <v>4</v>
      </c>
      <c r="B15" s="176">
        <f t="shared" si="1"/>
        <v>2011</v>
      </c>
      <c r="C15" s="176" t="str">
        <f t="shared" si="2"/>
        <v>Income: 1</v>
      </c>
      <c r="D15" s="178">
        <v>40651</v>
      </c>
      <c r="E15" s="172" t="s">
        <v>51</v>
      </c>
      <c r="F15" s="175">
        <v>995</v>
      </c>
      <c r="G15" s="175"/>
      <c r="H15" s="177">
        <f t="shared" si="3"/>
        <v>0</v>
      </c>
    </row>
    <row r="16" spans="1:10" ht="12.75" customHeight="1" x14ac:dyDescent="0.2">
      <c r="A16" s="176">
        <f t="shared" si="0"/>
        <v>5</v>
      </c>
      <c r="B16" s="176">
        <f t="shared" si="1"/>
        <v>2011</v>
      </c>
      <c r="C16" s="176" t="str">
        <f t="shared" si="2"/>
        <v>Rent: 1</v>
      </c>
      <c r="D16" s="178">
        <v>40678</v>
      </c>
      <c r="E16" s="181" t="str">
        <f>"Rent: "&amp;LOOKUP(A16-1, Months, TextMonths)&amp;" '"&amp;B16</f>
        <v>Rent: May '2011</v>
      </c>
      <c r="F16" s="175"/>
      <c r="G16" s="175">
        <v>1695</v>
      </c>
      <c r="H16" s="177">
        <f t="shared" si="3"/>
        <v>1695</v>
      </c>
    </row>
    <row r="17" spans="1:9" ht="12.75" customHeight="1" x14ac:dyDescent="0.2">
      <c r="A17" s="176">
        <f t="shared" si="0"/>
        <v>5</v>
      </c>
      <c r="B17" s="176">
        <f t="shared" si="1"/>
        <v>2011</v>
      </c>
      <c r="C17" s="176" t="str">
        <f t="shared" si="2"/>
        <v>Income: 1</v>
      </c>
      <c r="D17" s="178">
        <v>40681</v>
      </c>
      <c r="E17" s="172" t="s">
        <v>51</v>
      </c>
      <c r="F17" s="175">
        <v>1695</v>
      </c>
      <c r="G17" s="175"/>
      <c r="H17" s="177">
        <f t="shared" si="3"/>
        <v>0</v>
      </c>
    </row>
    <row r="18" spans="1:9" ht="12.75" customHeight="1" x14ac:dyDescent="0.2">
      <c r="A18" s="176">
        <f t="shared" si="0"/>
        <v>6</v>
      </c>
      <c r="B18" s="176">
        <f t="shared" si="1"/>
        <v>2011</v>
      </c>
      <c r="C18" s="176" t="str">
        <f t="shared" si="2"/>
        <v>Rent: 1</v>
      </c>
      <c r="D18" s="178">
        <v>40709</v>
      </c>
      <c r="E18" s="181" t="str">
        <f>"Rent: "&amp;LOOKUP(A18-1, Months, TextMonths)&amp;" '"&amp;B18</f>
        <v>Rent: Jun '2011</v>
      </c>
      <c r="F18" s="175"/>
      <c r="G18" s="175">
        <v>1695</v>
      </c>
      <c r="H18" s="177">
        <f t="shared" si="3"/>
        <v>1695</v>
      </c>
    </row>
    <row r="19" spans="1:9" ht="12.75" customHeight="1" x14ac:dyDescent="0.2">
      <c r="A19" s="176">
        <f t="shared" si="0"/>
        <v>6</v>
      </c>
      <c r="B19" s="176">
        <f t="shared" si="1"/>
        <v>2011</v>
      </c>
      <c r="C19" s="176" t="str">
        <f t="shared" si="2"/>
        <v>Income: 1</v>
      </c>
      <c r="D19" s="178">
        <v>40709</v>
      </c>
      <c r="E19" s="172" t="s">
        <v>51</v>
      </c>
      <c r="F19" s="175">
        <v>1595</v>
      </c>
      <c r="G19" s="175"/>
      <c r="H19" s="177">
        <f t="shared" si="3"/>
        <v>100</v>
      </c>
    </row>
    <row r="20" spans="1:9" ht="12.75" customHeight="1" x14ac:dyDescent="0.25">
      <c r="A20" s="176">
        <f t="shared" si="0"/>
        <v>6</v>
      </c>
      <c r="B20" s="176">
        <f t="shared" si="1"/>
        <v>2011</v>
      </c>
      <c r="C20" s="176" t="str">
        <f t="shared" si="2"/>
        <v>Income: 1</v>
      </c>
      <c r="D20" s="178">
        <v>40709</v>
      </c>
      <c r="E20" s="172" t="s">
        <v>157</v>
      </c>
      <c r="F20" s="179">
        <v>100</v>
      </c>
      <c r="G20" s="175"/>
      <c r="H20" s="177">
        <f t="shared" si="3"/>
        <v>0</v>
      </c>
      <c r="I20" s="180"/>
    </row>
    <row r="21" spans="1:9" ht="12.75" customHeight="1" x14ac:dyDescent="0.2">
      <c r="A21" s="176">
        <f t="shared" si="0"/>
        <v>7</v>
      </c>
      <c r="B21" s="176">
        <f t="shared" si="1"/>
        <v>2011</v>
      </c>
      <c r="C21" s="176" t="str">
        <f t="shared" si="2"/>
        <v>Rent: 1</v>
      </c>
      <c r="D21" s="178">
        <v>40739</v>
      </c>
      <c r="E21" s="181" t="str">
        <f>"Rent: "&amp;LOOKUP(A21-1, Months, TextMonths)&amp;" '"&amp;B21</f>
        <v>Rent: Jul '2011</v>
      </c>
      <c r="F21" s="175"/>
      <c r="G21" s="175">
        <v>1695</v>
      </c>
      <c r="H21" s="177">
        <f t="shared" si="3"/>
        <v>1695</v>
      </c>
    </row>
    <row r="22" spans="1:9" ht="12.75" customHeight="1" x14ac:dyDescent="0.2">
      <c r="A22" s="176">
        <f t="shared" si="0"/>
        <v>7</v>
      </c>
      <c r="B22" s="176">
        <f t="shared" si="1"/>
        <v>2011</v>
      </c>
      <c r="C22" s="176" t="str">
        <f t="shared" si="2"/>
        <v>Income: 1</v>
      </c>
      <c r="D22" s="178">
        <v>40739</v>
      </c>
      <c r="E22" s="172" t="s">
        <v>51</v>
      </c>
      <c r="F22" s="175">
        <v>1695</v>
      </c>
      <c r="G22" s="175"/>
      <c r="H22" s="177">
        <f t="shared" si="3"/>
        <v>0</v>
      </c>
    </row>
    <row r="23" spans="1:9" ht="12.75" customHeight="1" x14ac:dyDescent="0.2">
      <c r="A23" s="176">
        <f t="shared" si="0"/>
        <v>8</v>
      </c>
      <c r="B23" s="176">
        <f t="shared" si="1"/>
        <v>2011</v>
      </c>
      <c r="C23" s="176" t="str">
        <f t="shared" si="2"/>
        <v>Rent: 1</v>
      </c>
      <c r="D23" s="178">
        <v>40770</v>
      </c>
      <c r="E23" s="181" t="str">
        <f>"Rent: "&amp;LOOKUP(A23-1, Months, TextMonths)&amp;" '"&amp;B23</f>
        <v>Rent: Aug '2011</v>
      </c>
      <c r="F23" s="175"/>
      <c r="G23" s="175">
        <v>1695</v>
      </c>
      <c r="H23" s="177">
        <f t="shared" si="3"/>
        <v>1695</v>
      </c>
    </row>
    <row r="24" spans="1:9" ht="12.75" customHeight="1" x14ac:dyDescent="0.2">
      <c r="A24" s="176">
        <f t="shared" si="0"/>
        <v>8</v>
      </c>
      <c r="B24" s="176">
        <f t="shared" si="1"/>
        <v>2011</v>
      </c>
      <c r="C24" s="176" t="str">
        <f t="shared" si="2"/>
        <v>Income: 1</v>
      </c>
      <c r="D24" s="178">
        <v>40775</v>
      </c>
      <c r="E24" s="172" t="s">
        <v>51</v>
      </c>
      <c r="F24" s="175">
        <v>1695</v>
      </c>
      <c r="G24" s="175"/>
      <c r="H24" s="177">
        <f t="shared" si="3"/>
        <v>0</v>
      </c>
    </row>
    <row r="25" spans="1:9" ht="12.75" customHeight="1" x14ac:dyDescent="0.2">
      <c r="A25" s="176">
        <f t="shared" si="0"/>
        <v>9</v>
      </c>
      <c r="B25" s="176">
        <f t="shared" si="1"/>
        <v>2011</v>
      </c>
      <c r="C25" s="176" t="str">
        <f t="shared" si="2"/>
        <v>Rent: 1</v>
      </c>
      <c r="D25" s="178">
        <v>40801</v>
      </c>
      <c r="E25" s="181" t="str">
        <f>"Rent: "&amp;LOOKUP(A25-1, Months, TextMonths)&amp;" '"&amp;B25</f>
        <v>Rent: Sep '2011</v>
      </c>
      <c r="F25" s="175"/>
      <c r="G25" s="175">
        <v>1695</v>
      </c>
      <c r="H25" s="177">
        <f t="shared" si="3"/>
        <v>1695</v>
      </c>
    </row>
    <row r="26" spans="1:9" ht="12.75" customHeight="1" x14ac:dyDescent="0.2">
      <c r="A26" s="176">
        <f t="shared" si="0"/>
        <v>9</v>
      </c>
      <c r="B26" s="176">
        <f t="shared" si="1"/>
        <v>2011</v>
      </c>
      <c r="C26" s="176" t="str">
        <f t="shared" si="2"/>
        <v>Income: 1</v>
      </c>
      <c r="D26" s="178">
        <v>40805</v>
      </c>
      <c r="E26" s="172" t="s">
        <v>51</v>
      </c>
      <c r="F26" s="175">
        <v>1695</v>
      </c>
      <c r="G26" s="175"/>
      <c r="H26" s="177">
        <f t="shared" si="3"/>
        <v>0</v>
      </c>
    </row>
    <row r="27" spans="1:9" ht="12.75" customHeight="1" x14ac:dyDescent="0.2">
      <c r="A27" s="176">
        <f t="shared" si="0"/>
        <v>10</v>
      </c>
      <c r="B27" s="176">
        <f t="shared" si="1"/>
        <v>2011</v>
      </c>
      <c r="C27" s="176" t="str">
        <f t="shared" si="2"/>
        <v>Rent: 1</v>
      </c>
      <c r="D27" s="178">
        <v>40831</v>
      </c>
      <c r="E27" s="181" t="str">
        <f>"Rent: "&amp;LOOKUP(A27-1, Months, TextMonths)&amp;" '"&amp;B27</f>
        <v>Rent: Oct '2011</v>
      </c>
      <c r="F27" s="175"/>
      <c r="G27" s="175">
        <v>1695</v>
      </c>
      <c r="H27" s="177">
        <f t="shared" si="3"/>
        <v>1695</v>
      </c>
    </row>
    <row r="28" spans="1:9" ht="12.75" customHeight="1" x14ac:dyDescent="0.2">
      <c r="A28" s="176">
        <f t="shared" si="0"/>
        <v>10</v>
      </c>
      <c r="B28" s="176">
        <f t="shared" si="1"/>
        <v>2011</v>
      </c>
      <c r="C28" s="176" t="str">
        <f t="shared" si="2"/>
        <v>Income: 1</v>
      </c>
      <c r="D28" s="178">
        <v>40835</v>
      </c>
      <c r="E28" s="172" t="s">
        <v>51</v>
      </c>
      <c r="F28" s="175">
        <v>1615</v>
      </c>
      <c r="G28" s="175"/>
      <c r="H28" s="177">
        <f t="shared" si="3"/>
        <v>80</v>
      </c>
    </row>
    <row r="29" spans="1:9" ht="12.75" customHeight="1" x14ac:dyDescent="0.25">
      <c r="A29" s="176">
        <f t="shared" si="0"/>
        <v>10</v>
      </c>
      <c r="B29" s="176">
        <f t="shared" si="1"/>
        <v>2011</v>
      </c>
      <c r="C29" s="176" t="str">
        <f t="shared" si="2"/>
        <v>Rent: 35</v>
      </c>
      <c r="D29" s="178">
        <v>40835</v>
      </c>
      <c r="E29" s="172" t="s">
        <v>158</v>
      </c>
      <c r="F29" s="179">
        <v>50</v>
      </c>
      <c r="G29" s="175"/>
      <c r="H29" s="177">
        <f t="shared" si="3"/>
        <v>30</v>
      </c>
      <c r="I29" s="180"/>
    </row>
    <row r="30" spans="1:9" ht="12.75" customHeight="1" x14ac:dyDescent="0.25">
      <c r="A30" s="176">
        <f t="shared" si="0"/>
        <v>10</v>
      </c>
      <c r="B30" s="176">
        <f t="shared" si="1"/>
        <v>2011</v>
      </c>
      <c r="C30" s="176" t="str">
        <f t="shared" si="2"/>
        <v>Income: 1</v>
      </c>
      <c r="D30" s="178">
        <v>40835</v>
      </c>
      <c r="E30" s="172" t="s">
        <v>159</v>
      </c>
      <c r="F30" s="179">
        <v>30</v>
      </c>
      <c r="G30" s="175"/>
      <c r="H30" s="177">
        <f t="shared" si="3"/>
        <v>0</v>
      </c>
      <c r="I30" s="180"/>
    </row>
    <row r="31" spans="1:9" ht="12.75" customHeight="1" x14ac:dyDescent="0.2">
      <c r="A31" s="176">
        <f t="shared" si="0"/>
        <v>11</v>
      </c>
      <c r="B31" s="176">
        <f t="shared" si="1"/>
        <v>2011</v>
      </c>
      <c r="C31" s="176" t="str">
        <f t="shared" si="2"/>
        <v>Rent: 1</v>
      </c>
      <c r="D31" s="178">
        <v>40862</v>
      </c>
      <c r="E31" s="181" t="str">
        <f>"Rent: "&amp;LOOKUP(A31-1, Months, TextMonths)&amp;" '"&amp;B31</f>
        <v>Rent: Nov '2011</v>
      </c>
      <c r="F31" s="175"/>
      <c r="G31" s="175">
        <v>1695</v>
      </c>
      <c r="H31" s="177">
        <f t="shared" si="3"/>
        <v>1695</v>
      </c>
    </row>
    <row r="32" spans="1:9" ht="12.75" customHeight="1" x14ac:dyDescent="0.2">
      <c r="A32" s="176">
        <f t="shared" si="0"/>
        <v>11</v>
      </c>
      <c r="B32" s="176">
        <f t="shared" si="1"/>
        <v>2011</v>
      </c>
      <c r="C32" s="176" t="str">
        <f t="shared" si="2"/>
        <v>Income: 1</v>
      </c>
      <c r="D32" s="178">
        <v>40864</v>
      </c>
      <c r="E32" s="172" t="s">
        <v>51</v>
      </c>
      <c r="F32" s="175">
        <v>1695</v>
      </c>
      <c r="G32" s="175"/>
      <c r="H32" s="177">
        <f t="shared" si="3"/>
        <v>0</v>
      </c>
    </row>
    <row r="33" spans="1:10" ht="12.75" customHeight="1" x14ac:dyDescent="0.2">
      <c r="A33" s="176">
        <f t="shared" si="0"/>
        <v>12</v>
      </c>
      <c r="B33" s="176">
        <f t="shared" si="1"/>
        <v>2011</v>
      </c>
      <c r="C33" s="176" t="str">
        <f t="shared" si="2"/>
        <v>Rent: 1</v>
      </c>
      <c r="D33" s="178">
        <v>40878</v>
      </c>
      <c r="E33" s="181" t="str">
        <f>"Rent: "&amp;LOOKUP(A33-1, Months, TextMonths)&amp;" '"&amp;B33</f>
        <v>Rent: Dec '2011</v>
      </c>
      <c r="F33" s="175"/>
      <c r="G33" s="175">
        <v>1695</v>
      </c>
      <c r="H33" s="177">
        <f t="shared" si="3"/>
        <v>1695</v>
      </c>
    </row>
    <row r="34" spans="1:10" ht="12.75" customHeight="1" x14ac:dyDescent="0.2">
      <c r="A34" s="176">
        <f t="shared" si="0"/>
        <v>12</v>
      </c>
      <c r="B34" s="176">
        <f t="shared" si="1"/>
        <v>2011</v>
      </c>
      <c r="C34" s="176" t="str">
        <f t="shared" si="2"/>
        <v>Income: 1</v>
      </c>
      <c r="D34" s="178">
        <v>40897</v>
      </c>
      <c r="E34" s="172" t="s">
        <v>51</v>
      </c>
      <c r="F34" s="175">
        <v>1695</v>
      </c>
      <c r="G34" s="175"/>
      <c r="H34" s="177">
        <f t="shared" si="3"/>
        <v>0</v>
      </c>
    </row>
    <row r="35" spans="1:10" ht="12.75" customHeight="1" x14ac:dyDescent="0.2">
      <c r="A35" s="176">
        <f t="shared" si="0"/>
        <v>1</v>
      </c>
      <c r="B35" s="176">
        <f t="shared" si="1"/>
        <v>2012</v>
      </c>
      <c r="C35" s="176" t="str">
        <f t="shared" si="2"/>
        <v>Rent: 1</v>
      </c>
      <c r="D35" s="178">
        <v>40909</v>
      </c>
      <c r="E35" s="181" t="str">
        <f>"Rent: "&amp;LOOKUP(A35-1, Months, TextMonths)&amp;" '"&amp;B35</f>
        <v>Rent: Jan '2012</v>
      </c>
      <c r="F35" s="175"/>
      <c r="G35" s="175">
        <v>1695</v>
      </c>
      <c r="H35" s="177">
        <f t="shared" si="3"/>
        <v>1695</v>
      </c>
      <c r="I35" s="172"/>
      <c r="J35" s="172"/>
    </row>
    <row r="36" spans="1:10" ht="12.75" customHeight="1" x14ac:dyDescent="0.2">
      <c r="A36" s="176">
        <f t="shared" si="0"/>
        <v>1</v>
      </c>
      <c r="B36" s="176">
        <f t="shared" si="1"/>
        <v>2012</v>
      </c>
      <c r="C36" s="176" t="str">
        <f t="shared" si="2"/>
        <v>Income: 1</v>
      </c>
      <c r="D36" s="178">
        <v>40928</v>
      </c>
      <c r="E36" s="172" t="s">
        <v>51</v>
      </c>
      <c r="F36" s="175">
        <v>1695</v>
      </c>
      <c r="G36" s="175"/>
      <c r="H36" s="177">
        <f t="shared" si="3"/>
        <v>0</v>
      </c>
      <c r="I36" s="172"/>
      <c r="J36" s="173"/>
    </row>
    <row r="37" spans="1:10" ht="12.75" customHeight="1" x14ac:dyDescent="0.2">
      <c r="A37" s="176">
        <f t="shared" si="0"/>
        <v>2</v>
      </c>
      <c r="B37" s="176">
        <f t="shared" si="1"/>
        <v>2012</v>
      </c>
      <c r="C37" s="176" t="str">
        <f t="shared" si="2"/>
        <v>Rent: 1</v>
      </c>
      <c r="D37" s="178">
        <v>40954</v>
      </c>
      <c r="E37" s="181" t="str">
        <f>"Rent: "&amp;LOOKUP(A37-1, Months, TextMonths)&amp;" '"&amp;B37</f>
        <v>Rent: Feb '2012</v>
      </c>
      <c r="F37" s="175"/>
      <c r="G37" s="175">
        <v>1695</v>
      </c>
      <c r="H37" s="177">
        <f t="shared" si="3"/>
        <v>1695</v>
      </c>
      <c r="I37" s="173"/>
      <c r="J37" s="172"/>
    </row>
    <row r="38" spans="1:10" ht="12.75" customHeight="1" x14ac:dyDescent="0.2">
      <c r="A38" s="176">
        <f t="shared" si="0"/>
        <v>2</v>
      </c>
      <c r="B38" s="176">
        <f t="shared" si="1"/>
        <v>2012</v>
      </c>
      <c r="C38" s="176" t="str">
        <f t="shared" si="2"/>
        <v>Income: 1</v>
      </c>
      <c r="D38" s="178">
        <v>40960</v>
      </c>
      <c r="E38" s="172" t="s">
        <v>51</v>
      </c>
      <c r="F38" s="175">
        <v>1547</v>
      </c>
      <c r="G38" s="175"/>
      <c r="H38" s="177">
        <f t="shared" si="3"/>
        <v>148</v>
      </c>
      <c r="I38" s="173"/>
      <c r="J38" s="175"/>
    </row>
    <row r="39" spans="1:10" ht="12.75" customHeight="1" x14ac:dyDescent="0.2">
      <c r="A39" s="176">
        <f t="shared" si="0"/>
        <v>2</v>
      </c>
      <c r="B39" s="176">
        <f t="shared" si="1"/>
        <v>2012</v>
      </c>
      <c r="C39" s="176" t="str">
        <f t="shared" si="2"/>
        <v>Income: 1</v>
      </c>
      <c r="D39" s="178">
        <v>40957</v>
      </c>
      <c r="E39" s="172" t="s">
        <v>160</v>
      </c>
      <c r="F39" s="175">
        <v>148</v>
      </c>
      <c r="G39" s="175"/>
      <c r="H39" s="177">
        <f t="shared" si="3"/>
        <v>0</v>
      </c>
    </row>
    <row r="40" spans="1:10" ht="12.75" customHeight="1" x14ac:dyDescent="0.2">
      <c r="A40" s="176">
        <f t="shared" si="0"/>
        <v>2</v>
      </c>
      <c r="B40" s="176">
        <f t="shared" si="1"/>
        <v>2012</v>
      </c>
      <c r="C40" s="176" t="str">
        <f t="shared" si="2"/>
        <v/>
      </c>
      <c r="D40" s="178">
        <v>40959</v>
      </c>
      <c r="E40" s="172" t="s">
        <v>161</v>
      </c>
      <c r="F40" s="175"/>
      <c r="G40" s="175">
        <v>25</v>
      </c>
      <c r="H40" s="177">
        <f t="shared" si="3"/>
        <v>25</v>
      </c>
    </row>
    <row r="41" spans="1:10" ht="12.75" customHeight="1" x14ac:dyDescent="0.2">
      <c r="A41" s="176">
        <f t="shared" si="0"/>
        <v>2</v>
      </c>
      <c r="B41" s="176">
        <f t="shared" si="1"/>
        <v>2012</v>
      </c>
      <c r="C41" s="176" t="str">
        <f t="shared" si="2"/>
        <v/>
      </c>
      <c r="D41" s="178">
        <v>40959</v>
      </c>
      <c r="E41" s="172" t="s">
        <v>162</v>
      </c>
      <c r="F41" s="175">
        <v>25</v>
      </c>
      <c r="G41" s="175"/>
      <c r="H41" s="177">
        <f t="shared" si="3"/>
        <v>0</v>
      </c>
    </row>
    <row r="42" spans="1:10" ht="12.75" customHeight="1" x14ac:dyDescent="0.2">
      <c r="A42" s="176">
        <f t="shared" si="0"/>
        <v>3</v>
      </c>
      <c r="B42" s="176">
        <f t="shared" si="1"/>
        <v>2012</v>
      </c>
      <c r="C42" s="176" t="str">
        <f t="shared" si="2"/>
        <v>Rent: 1</v>
      </c>
      <c r="D42" s="178">
        <v>40983</v>
      </c>
      <c r="E42" s="181" t="str">
        <f>"Rent: "&amp;LOOKUP(A42-1, Months, TextMonths)&amp;" '"&amp;B42</f>
        <v>Rent: Mar '2012</v>
      </c>
      <c r="F42" s="175"/>
      <c r="G42" s="175">
        <v>1695</v>
      </c>
      <c r="H42" s="177">
        <f t="shared" si="3"/>
        <v>1695</v>
      </c>
    </row>
    <row r="43" spans="1:10" ht="12.75" customHeight="1" x14ac:dyDescent="0.2">
      <c r="A43" s="176">
        <f t="shared" si="0"/>
        <v>3</v>
      </c>
      <c r="B43" s="176">
        <f t="shared" si="1"/>
        <v>2012</v>
      </c>
      <c r="C43" s="176" t="str">
        <f t="shared" si="2"/>
        <v>Income: 1</v>
      </c>
      <c r="D43" s="178">
        <v>40987</v>
      </c>
      <c r="E43" s="172" t="s">
        <v>51</v>
      </c>
      <c r="F43" s="175">
        <v>1695</v>
      </c>
      <c r="G43" s="175"/>
      <c r="H43" s="177">
        <f t="shared" si="3"/>
        <v>0</v>
      </c>
    </row>
    <row r="44" spans="1:10" ht="12.75" customHeight="1" x14ac:dyDescent="0.2">
      <c r="A44" s="176">
        <f t="shared" si="0"/>
        <v>4</v>
      </c>
      <c r="B44" s="176">
        <f t="shared" si="1"/>
        <v>2012</v>
      </c>
      <c r="C44" s="176" t="str">
        <f t="shared" si="2"/>
        <v>Rent: 1</v>
      </c>
      <c r="D44" s="182" t="str">
        <f>MONTH(D42)+1 &amp; "/15/" &amp; YEAR(D42)</f>
        <v>4/15/2012</v>
      </c>
      <c r="E44" s="181" t="str">
        <f>"Rent: "&amp;LOOKUP(A44-1, Months, TextMonths)&amp;" '"&amp;B44</f>
        <v>Rent: Apr '2012</v>
      </c>
      <c r="F44" s="175"/>
      <c r="G44" s="175">
        <v>1695</v>
      </c>
      <c r="H44" s="177">
        <f t="shared" si="3"/>
        <v>1695</v>
      </c>
    </row>
    <row r="45" spans="1:10" ht="12.75" customHeight="1" x14ac:dyDescent="0.2">
      <c r="A45" s="176">
        <f t="shared" si="0"/>
        <v>4</v>
      </c>
      <c r="B45" s="176">
        <f t="shared" si="1"/>
        <v>2012</v>
      </c>
      <c r="C45" s="176" t="str">
        <f t="shared" si="2"/>
        <v>Income: 1</v>
      </c>
      <c r="D45" s="178">
        <v>41014</v>
      </c>
      <c r="E45" s="172" t="s">
        <v>51</v>
      </c>
      <c r="F45" s="175">
        <v>1695</v>
      </c>
      <c r="G45" s="175"/>
      <c r="H45" s="177">
        <f t="shared" si="3"/>
        <v>0</v>
      </c>
    </row>
    <row r="46" spans="1:10" ht="12.75" customHeight="1" x14ac:dyDescent="0.2">
      <c r="A46" s="176">
        <f t="shared" si="0"/>
        <v>5</v>
      </c>
      <c r="B46" s="176">
        <f t="shared" si="1"/>
        <v>2012</v>
      </c>
      <c r="C46" s="176" t="str">
        <f t="shared" si="2"/>
        <v>Rent: 1</v>
      </c>
      <c r="D46" s="182" t="str">
        <f>MONTH(D44)+1 &amp; "/15/" &amp; YEAR(D44)</f>
        <v>5/15/2012</v>
      </c>
      <c r="E46" s="181" t="str">
        <f>"Rent: "&amp;LOOKUP(A46-1, Months, TextMonths)&amp;" '"&amp;B46</f>
        <v>Rent: May '2012</v>
      </c>
      <c r="F46" s="175"/>
      <c r="G46" s="175">
        <v>1695</v>
      </c>
      <c r="H46" s="177">
        <f t="shared" si="3"/>
        <v>1695</v>
      </c>
    </row>
    <row r="47" spans="1:10" ht="12.75" customHeight="1" x14ac:dyDescent="0.2">
      <c r="A47" s="176">
        <f t="shared" si="0"/>
        <v>5</v>
      </c>
      <c r="B47" s="176">
        <f t="shared" si="1"/>
        <v>2012</v>
      </c>
      <c r="C47" s="176" t="str">
        <f t="shared" si="2"/>
        <v>Income: 1</v>
      </c>
      <c r="D47" s="178">
        <v>41047</v>
      </c>
      <c r="E47" s="172" t="s">
        <v>51</v>
      </c>
      <c r="F47" s="175">
        <v>1695</v>
      </c>
      <c r="G47" s="175"/>
      <c r="H47" s="177">
        <f t="shared" si="3"/>
        <v>0</v>
      </c>
    </row>
    <row r="48" spans="1:10" ht="12.75" customHeight="1" x14ac:dyDescent="0.2">
      <c r="A48" s="176">
        <f t="shared" si="0"/>
        <v>6</v>
      </c>
      <c r="B48" s="176">
        <f t="shared" si="1"/>
        <v>2012</v>
      </c>
      <c r="C48" s="176" t="str">
        <f t="shared" si="2"/>
        <v>Rent: 1</v>
      </c>
      <c r="D48" s="182" t="str">
        <f>MONTH(D46)+1 &amp; "/15/" &amp; YEAR(D46)</f>
        <v>6/15/2012</v>
      </c>
      <c r="E48" s="181" t="str">
        <f>"Rent: "&amp;LOOKUP(A48-1, Months, TextMonths)&amp;" '"&amp;B48</f>
        <v>Rent: Jun '2012</v>
      </c>
      <c r="F48" s="175"/>
      <c r="G48" s="175">
        <v>1695</v>
      </c>
      <c r="H48" s="177">
        <f t="shared" si="3"/>
        <v>1695</v>
      </c>
    </row>
    <row r="49" spans="1:8" ht="12.75" customHeight="1" x14ac:dyDescent="0.2">
      <c r="A49" s="176">
        <f t="shared" si="0"/>
        <v>6</v>
      </c>
      <c r="B49" s="176">
        <f t="shared" si="1"/>
        <v>2012</v>
      </c>
      <c r="C49" s="176" t="str">
        <f t="shared" si="2"/>
        <v>Income: 1</v>
      </c>
      <c r="D49" s="178">
        <v>41080</v>
      </c>
      <c r="E49" s="172" t="s">
        <v>51</v>
      </c>
      <c r="F49" s="175">
        <v>1695</v>
      </c>
      <c r="G49" s="175"/>
      <c r="H49" s="177">
        <f t="shared" si="3"/>
        <v>0</v>
      </c>
    </row>
    <row r="50" spans="1:8" ht="12.75" customHeight="1" x14ac:dyDescent="0.2">
      <c r="A50" s="176">
        <f t="shared" si="0"/>
        <v>7</v>
      </c>
      <c r="B50" s="176">
        <f t="shared" si="1"/>
        <v>2012</v>
      </c>
      <c r="C50" s="176" t="str">
        <f t="shared" si="2"/>
        <v>Rent: 1</v>
      </c>
      <c r="D50" s="182" t="str">
        <f>MONTH(D48)+1 &amp; "/15/" &amp; YEAR(D48)</f>
        <v>7/15/2012</v>
      </c>
      <c r="E50" s="181" t="str">
        <f>"Rent: "&amp;LOOKUP(A50-1, Months, TextMonths)&amp;" '"&amp;B50</f>
        <v>Rent: Jul '2012</v>
      </c>
      <c r="F50" s="175"/>
      <c r="G50" s="175">
        <v>1695</v>
      </c>
      <c r="H50" s="177">
        <f t="shared" si="3"/>
        <v>1695</v>
      </c>
    </row>
    <row r="51" spans="1:8" ht="12.75" customHeight="1" x14ac:dyDescent="0.2">
      <c r="A51" s="176">
        <f t="shared" si="0"/>
        <v>7</v>
      </c>
      <c r="B51" s="176">
        <f t="shared" si="1"/>
        <v>2012</v>
      </c>
      <c r="C51" s="176" t="str">
        <f t="shared" si="2"/>
        <v>Income: 1</v>
      </c>
      <c r="D51" s="178">
        <v>41110</v>
      </c>
      <c r="E51" s="172" t="s">
        <v>51</v>
      </c>
      <c r="F51" s="175">
        <v>1695</v>
      </c>
      <c r="G51" s="175"/>
      <c r="H51" s="177">
        <f t="shared" si="3"/>
        <v>0</v>
      </c>
    </row>
    <row r="52" spans="1:8" ht="12.75" customHeight="1" x14ac:dyDescent="0.2">
      <c r="A52" s="176">
        <f t="shared" si="0"/>
        <v>8</v>
      </c>
      <c r="B52" s="176">
        <f t="shared" si="1"/>
        <v>2012</v>
      </c>
      <c r="C52" s="176" t="str">
        <f t="shared" si="2"/>
        <v>Rent: 1</v>
      </c>
      <c r="D52" s="182" t="str">
        <f>MONTH(D50)+1 &amp; "/15/" &amp; YEAR(D50)</f>
        <v>8/15/2012</v>
      </c>
      <c r="E52" s="181" t="str">
        <f>"Rent: "&amp;LOOKUP(A52-1, Months, TextMonths)&amp;" '"&amp;B52</f>
        <v>Rent: Aug '2012</v>
      </c>
      <c r="F52" s="175"/>
      <c r="G52" s="175">
        <v>1695</v>
      </c>
      <c r="H52" s="177">
        <f t="shared" si="3"/>
        <v>1695</v>
      </c>
    </row>
    <row r="53" spans="1:8" ht="12.75" customHeight="1" x14ac:dyDescent="0.2">
      <c r="A53" s="176">
        <f t="shared" si="0"/>
        <v>8</v>
      </c>
      <c r="B53" s="176">
        <f t="shared" si="1"/>
        <v>2012</v>
      </c>
      <c r="C53" s="176" t="str">
        <f t="shared" si="2"/>
        <v>Income: 1</v>
      </c>
      <c r="D53" s="178">
        <v>41141</v>
      </c>
      <c r="E53" s="172" t="s">
        <v>51</v>
      </c>
      <c r="F53" s="175">
        <v>1695</v>
      </c>
      <c r="G53" s="175"/>
      <c r="H53" s="177">
        <f t="shared" si="3"/>
        <v>0</v>
      </c>
    </row>
    <row r="54" spans="1:8" ht="12.75" customHeight="1" x14ac:dyDescent="0.2">
      <c r="A54" s="176">
        <f t="shared" si="0"/>
        <v>9</v>
      </c>
      <c r="B54" s="176">
        <f t="shared" si="1"/>
        <v>2012</v>
      </c>
      <c r="C54" s="176" t="str">
        <f t="shared" si="2"/>
        <v>Rent: 1</v>
      </c>
      <c r="D54" s="182" t="str">
        <f>MONTH(D52)+1 &amp; "/15/" &amp; YEAR(D52)</f>
        <v>9/15/2012</v>
      </c>
      <c r="E54" s="181" t="str">
        <f>"Rent: "&amp;LOOKUP(A54-1, Months, TextMonths)&amp;" '"&amp;B54</f>
        <v>Rent: Sep '2012</v>
      </c>
      <c r="F54" s="175"/>
      <c r="G54" s="175">
        <v>1695</v>
      </c>
      <c r="H54" s="177">
        <f t="shared" si="3"/>
        <v>1695</v>
      </c>
    </row>
    <row r="55" spans="1:8" ht="12.75" customHeight="1" x14ac:dyDescent="0.2">
      <c r="A55" s="176">
        <f t="shared" si="0"/>
        <v>9</v>
      </c>
      <c r="B55" s="176">
        <f t="shared" si="1"/>
        <v>2012</v>
      </c>
      <c r="C55" s="176" t="str">
        <f t="shared" si="2"/>
        <v>Income: 1</v>
      </c>
      <c r="D55" s="178">
        <v>41171</v>
      </c>
      <c r="E55" s="172" t="s">
        <v>51</v>
      </c>
      <c r="F55" s="175">
        <v>1695</v>
      </c>
      <c r="G55" s="175"/>
      <c r="H55" s="177">
        <f t="shared" si="3"/>
        <v>0</v>
      </c>
    </row>
    <row r="56" spans="1:8" ht="12.75" customHeight="1" x14ac:dyDescent="0.2">
      <c r="A56" s="176">
        <f t="shared" si="0"/>
        <v>10</v>
      </c>
      <c r="B56" s="176">
        <f t="shared" si="1"/>
        <v>2012</v>
      </c>
      <c r="C56" s="176" t="str">
        <f t="shared" si="2"/>
        <v>Rent: 1</v>
      </c>
      <c r="D56" s="182" t="str">
        <f>MONTH(D54)+1 &amp; "/15/" &amp; YEAR(D54)</f>
        <v>10/15/2012</v>
      </c>
      <c r="E56" s="181" t="str">
        <f>"Rent: "&amp;LOOKUP(A56-1, Months, TextMonths)&amp;" '"&amp;B56</f>
        <v>Rent: Oct '2012</v>
      </c>
      <c r="F56" s="175"/>
      <c r="G56" s="175">
        <v>1695</v>
      </c>
      <c r="H56" s="177">
        <f t="shared" si="3"/>
        <v>1695</v>
      </c>
    </row>
    <row r="57" spans="1:8" ht="12.75" customHeight="1" x14ac:dyDescent="0.2">
      <c r="A57" s="176">
        <f t="shared" si="0"/>
        <v>10</v>
      </c>
      <c r="B57" s="176">
        <f t="shared" si="1"/>
        <v>2012</v>
      </c>
      <c r="C57" s="176" t="str">
        <f t="shared" si="2"/>
        <v>Income: 1</v>
      </c>
      <c r="D57" s="178">
        <v>41201</v>
      </c>
      <c r="E57" s="172" t="s">
        <v>51</v>
      </c>
      <c r="F57" s="175">
        <v>1695</v>
      </c>
      <c r="G57" s="175"/>
      <c r="H57" s="177">
        <f t="shared" si="3"/>
        <v>0</v>
      </c>
    </row>
    <row r="58" spans="1:8" ht="12.75" customHeight="1" x14ac:dyDescent="0.2">
      <c r="A58" s="176">
        <f t="shared" si="0"/>
        <v>11</v>
      </c>
      <c r="B58" s="176">
        <f t="shared" si="1"/>
        <v>2012</v>
      </c>
      <c r="C58" s="176" t="str">
        <f t="shared" si="2"/>
        <v>Rent: 1</v>
      </c>
      <c r="D58" s="182" t="str">
        <f>MONTH(D56)+1 &amp; "/15/" &amp; YEAR(D56)</f>
        <v>11/15/2012</v>
      </c>
      <c r="E58" s="181" t="str">
        <f>"Rent: "&amp;LOOKUP(A58-1, Months, TextMonths)&amp;" '"&amp;B58</f>
        <v>Rent: Nov '2012</v>
      </c>
      <c r="F58" s="175"/>
      <c r="G58" s="175">
        <v>1695</v>
      </c>
      <c r="H58" s="177">
        <f t="shared" si="3"/>
        <v>1695</v>
      </c>
    </row>
    <row r="59" spans="1:8" ht="12.75" customHeight="1" x14ac:dyDescent="0.2">
      <c r="A59" s="176">
        <f t="shared" si="0"/>
        <v>11</v>
      </c>
      <c r="B59" s="176">
        <f t="shared" si="1"/>
        <v>2012</v>
      </c>
      <c r="C59" s="176" t="str">
        <f t="shared" si="2"/>
        <v>Income: 1</v>
      </c>
      <c r="D59" s="178">
        <v>41232</v>
      </c>
      <c r="E59" s="172" t="s">
        <v>51</v>
      </c>
      <c r="F59" s="175">
        <v>1695</v>
      </c>
      <c r="G59" s="175"/>
      <c r="H59" s="177">
        <f t="shared" si="3"/>
        <v>0</v>
      </c>
    </row>
    <row r="60" spans="1:8" ht="12.75" customHeight="1" x14ac:dyDescent="0.2">
      <c r="A60" s="176">
        <f t="shared" si="0"/>
        <v>12</v>
      </c>
      <c r="B60" s="176">
        <f t="shared" si="1"/>
        <v>2012</v>
      </c>
      <c r="C60" s="176" t="str">
        <f t="shared" si="2"/>
        <v>Rent: 1</v>
      </c>
      <c r="D60" s="182" t="str">
        <f>MONTH(D58)+1 &amp; "/15/" &amp; YEAR(D58)</f>
        <v>12/15/2012</v>
      </c>
      <c r="E60" s="181" t="str">
        <f>"Rent: "&amp;LOOKUP(A60-1, Months, TextMonths)&amp;" '"&amp;B60</f>
        <v>Rent: Dec '2012</v>
      </c>
      <c r="F60" s="175"/>
      <c r="G60" s="175">
        <v>1695</v>
      </c>
      <c r="H60" s="177">
        <f t="shared" si="3"/>
        <v>1695</v>
      </c>
    </row>
    <row r="61" spans="1:8" ht="12.75" customHeight="1" x14ac:dyDescent="0.2">
      <c r="A61" s="176">
        <f t="shared" si="0"/>
        <v>12</v>
      </c>
      <c r="B61" s="176">
        <f t="shared" si="1"/>
        <v>2012</v>
      </c>
      <c r="C61" s="176" t="str">
        <f t="shared" si="2"/>
        <v>Income: 1</v>
      </c>
      <c r="D61" s="178">
        <v>41262</v>
      </c>
      <c r="E61" s="172" t="s">
        <v>51</v>
      </c>
      <c r="F61" s="175">
        <v>1660</v>
      </c>
      <c r="G61" s="175"/>
      <c r="H61" s="177">
        <f t="shared" si="3"/>
        <v>35</v>
      </c>
    </row>
    <row r="62" spans="1:8" ht="12.75" customHeight="1" x14ac:dyDescent="0.2">
      <c r="A62" s="176">
        <f t="shared" si="0"/>
        <v>12</v>
      </c>
      <c r="B62" s="176">
        <f t="shared" si="1"/>
        <v>2012</v>
      </c>
      <c r="C62" s="176" t="str">
        <f t="shared" si="2"/>
        <v>Income: 1</v>
      </c>
      <c r="D62" s="178">
        <v>41262</v>
      </c>
      <c r="E62" s="172" t="s">
        <v>163</v>
      </c>
      <c r="F62" s="175">
        <v>35</v>
      </c>
      <c r="G62" s="175"/>
      <c r="H62" s="177">
        <f t="shared" si="3"/>
        <v>0</v>
      </c>
    </row>
    <row r="63" spans="1:8" ht="12.75" customHeight="1" x14ac:dyDescent="0.2">
      <c r="A63" s="176">
        <f t="shared" si="0"/>
        <v>1</v>
      </c>
      <c r="B63" s="176">
        <f t="shared" si="1"/>
        <v>2013</v>
      </c>
      <c r="C63" s="176" t="str">
        <f t="shared" si="2"/>
        <v>Rent: 1</v>
      </c>
      <c r="D63" s="182">
        <v>41289</v>
      </c>
      <c r="E63" s="181" t="str">
        <f>"Rent: "&amp;LOOKUP(A63-1, Months, TextMonths)&amp;" '"&amp;B63</f>
        <v>Rent: Jan '2013</v>
      </c>
      <c r="F63" s="175"/>
      <c r="G63" s="175">
        <v>1695</v>
      </c>
      <c r="H63" s="177">
        <f t="shared" si="3"/>
        <v>1695</v>
      </c>
    </row>
    <row r="64" spans="1:8" ht="12.75" customHeight="1" x14ac:dyDescent="0.2">
      <c r="A64" s="176">
        <f t="shared" si="0"/>
        <v>1</v>
      </c>
      <c r="B64" s="176">
        <f t="shared" si="1"/>
        <v>2013</v>
      </c>
      <c r="C64" s="176" t="str">
        <f t="shared" si="2"/>
        <v>Income: 1</v>
      </c>
      <c r="D64" s="178">
        <v>41291</v>
      </c>
      <c r="E64" s="172" t="s">
        <v>51</v>
      </c>
      <c r="F64" s="175">
        <v>1695</v>
      </c>
      <c r="G64" s="175"/>
      <c r="H64" s="177">
        <f t="shared" si="3"/>
        <v>0</v>
      </c>
    </row>
    <row r="65" spans="1:8" ht="12.75" customHeight="1" x14ac:dyDescent="0.2">
      <c r="A65" s="176">
        <f t="shared" si="0"/>
        <v>2</v>
      </c>
      <c r="B65" s="176">
        <f t="shared" si="1"/>
        <v>2013</v>
      </c>
      <c r="C65" s="176" t="str">
        <f t="shared" si="2"/>
        <v>Rent: 1</v>
      </c>
      <c r="D65" s="182" t="str">
        <f>MONTH(D63)+1 &amp; "/15/" &amp; YEAR(D63)</f>
        <v>2/15/2013</v>
      </c>
      <c r="E65" s="181" t="str">
        <f>"Rent: "&amp;LOOKUP(A65-1, Months, TextMonths)&amp;" '"&amp;B65</f>
        <v>Rent: Feb '2013</v>
      </c>
      <c r="F65" s="175"/>
      <c r="G65" s="175">
        <v>1695</v>
      </c>
      <c r="H65" s="177">
        <f t="shared" si="3"/>
        <v>1695</v>
      </c>
    </row>
    <row r="66" spans="1:8" ht="12.75" customHeight="1" x14ac:dyDescent="0.2">
      <c r="A66" s="176">
        <f t="shared" si="0"/>
        <v>2</v>
      </c>
      <c r="B66" s="176">
        <f t="shared" si="1"/>
        <v>2013</v>
      </c>
      <c r="C66" s="176" t="str">
        <f t="shared" si="2"/>
        <v>Income: 1</v>
      </c>
      <c r="D66" s="178">
        <v>41325</v>
      </c>
      <c r="E66" s="172" t="s">
        <v>51</v>
      </c>
      <c r="F66" s="175">
        <v>1695</v>
      </c>
      <c r="G66" s="175"/>
      <c r="H66" s="177">
        <f t="shared" si="3"/>
        <v>0</v>
      </c>
    </row>
    <row r="67" spans="1:8" ht="12.75" customHeight="1" x14ac:dyDescent="0.2">
      <c r="A67" s="176">
        <f t="shared" si="0"/>
        <v>3</v>
      </c>
      <c r="B67" s="176">
        <f t="shared" si="1"/>
        <v>2013</v>
      </c>
      <c r="C67" s="176" t="str">
        <f t="shared" si="2"/>
        <v>Rent: 1</v>
      </c>
      <c r="D67" s="182" t="str">
        <f>MONTH(D65)+1 &amp; "/15/" &amp; YEAR(D65)</f>
        <v>3/15/2013</v>
      </c>
      <c r="E67" s="181" t="str">
        <f>"Rent: "&amp;LOOKUP(A67-1, Months, TextMonths)&amp;" '"&amp;B67</f>
        <v>Rent: Mar '2013</v>
      </c>
      <c r="F67" s="175"/>
      <c r="G67" s="175">
        <v>1695</v>
      </c>
      <c r="H67" s="177">
        <f t="shared" si="3"/>
        <v>1695</v>
      </c>
    </row>
    <row r="68" spans="1:8" ht="12.75" customHeight="1" x14ac:dyDescent="0.2">
      <c r="A68" s="176">
        <f t="shared" si="0"/>
        <v>3</v>
      </c>
      <c r="B68" s="176">
        <f t="shared" si="1"/>
        <v>2013</v>
      </c>
      <c r="C68" s="176" t="str">
        <f t="shared" si="2"/>
        <v>Income: 1</v>
      </c>
      <c r="D68" s="178">
        <v>41352</v>
      </c>
      <c r="E68" s="172" t="s">
        <v>51</v>
      </c>
      <c r="F68" s="175">
        <v>1695</v>
      </c>
      <c r="G68" s="175"/>
      <c r="H68" s="177">
        <f t="shared" si="3"/>
        <v>0</v>
      </c>
    </row>
    <row r="69" spans="1:8" ht="12.75" customHeight="1" x14ac:dyDescent="0.2">
      <c r="A69" s="176">
        <f t="shared" si="0"/>
        <v>4</v>
      </c>
      <c r="B69" s="176">
        <f t="shared" si="1"/>
        <v>2013</v>
      </c>
      <c r="C69" s="176" t="str">
        <f t="shared" si="2"/>
        <v>Rent: 1</v>
      </c>
      <c r="D69" s="182" t="str">
        <f>MONTH(D67)+1 &amp; "/15/" &amp; YEAR(D67)</f>
        <v>4/15/2013</v>
      </c>
      <c r="E69" s="181" t="str">
        <f>"Rent: "&amp;LOOKUP(A69-1, Months, TextMonths)&amp;" '"&amp;B69</f>
        <v>Rent: Apr '2013</v>
      </c>
      <c r="F69" s="175"/>
      <c r="G69" s="175">
        <v>1695</v>
      </c>
      <c r="H69" s="177">
        <f t="shared" si="3"/>
        <v>1695</v>
      </c>
    </row>
    <row r="70" spans="1:8" ht="12.75" customHeight="1" x14ac:dyDescent="0.2">
      <c r="A70" s="176">
        <f t="shared" si="0"/>
        <v>4</v>
      </c>
      <c r="B70" s="176">
        <f t="shared" si="1"/>
        <v>2013</v>
      </c>
      <c r="C70" s="176" t="str">
        <f t="shared" si="2"/>
        <v>Income: 1</v>
      </c>
      <c r="D70" s="178">
        <v>41386</v>
      </c>
      <c r="E70" s="172" t="s">
        <v>51</v>
      </c>
      <c r="F70" s="175">
        <v>1695</v>
      </c>
      <c r="G70" s="175"/>
      <c r="H70" s="177">
        <f t="shared" si="3"/>
        <v>0</v>
      </c>
    </row>
    <row r="71" spans="1:8" ht="12.75" customHeight="1" x14ac:dyDescent="0.2">
      <c r="A71" s="176">
        <f t="shared" si="0"/>
        <v>5</v>
      </c>
      <c r="B71" s="176">
        <f t="shared" si="1"/>
        <v>2013</v>
      </c>
      <c r="C71" s="176" t="str">
        <f t="shared" si="2"/>
        <v>Rent: 1</v>
      </c>
      <c r="D71" s="182" t="str">
        <f>MONTH(D69)+1 &amp; "/15/" &amp; YEAR(D69)</f>
        <v>5/15/2013</v>
      </c>
      <c r="E71" s="181" t="str">
        <f>"Rent: "&amp;LOOKUP(A71-1, Months, TextMonths)&amp;" '"&amp;B71</f>
        <v>Rent: May '2013</v>
      </c>
      <c r="F71" s="175"/>
      <c r="G71" s="175">
        <v>1695</v>
      </c>
      <c r="H71" s="177">
        <f t="shared" si="3"/>
        <v>1695</v>
      </c>
    </row>
    <row r="72" spans="1:8" ht="12.75" customHeight="1" x14ac:dyDescent="0.2">
      <c r="A72" s="176">
        <f t="shared" si="0"/>
        <v>5</v>
      </c>
      <c r="B72" s="176">
        <f t="shared" si="1"/>
        <v>2013</v>
      </c>
      <c r="C72" s="176" t="str">
        <f t="shared" si="2"/>
        <v>Income: 1</v>
      </c>
      <c r="D72" s="178">
        <v>41414</v>
      </c>
      <c r="E72" s="172" t="s">
        <v>51</v>
      </c>
      <c r="F72" s="175">
        <v>1695</v>
      </c>
      <c r="G72" s="175"/>
      <c r="H72" s="177">
        <f t="shared" ref="H72:H135" si="4">H71+G72-F72</f>
        <v>0</v>
      </c>
    </row>
    <row r="73" spans="1:8" ht="12.75" customHeight="1" x14ac:dyDescent="0.2">
      <c r="A73" s="176">
        <f t="shared" si="0"/>
        <v>6</v>
      </c>
      <c r="B73" s="176">
        <f t="shared" si="1"/>
        <v>2013</v>
      </c>
      <c r="C73" s="176" t="str">
        <f t="shared" si="2"/>
        <v>Rent: 1</v>
      </c>
      <c r="D73" s="182" t="str">
        <f>MONTH(D71)+1 &amp; "/15/" &amp; YEAR(D71)</f>
        <v>6/15/2013</v>
      </c>
      <c r="E73" s="181" t="str">
        <f>"Rent: "&amp;LOOKUP(A73-1, Months, TextMonths)&amp;" '"&amp;B73</f>
        <v>Rent: Jun '2013</v>
      </c>
      <c r="F73" s="175"/>
      <c r="G73" s="175">
        <v>1695</v>
      </c>
      <c r="H73" s="177">
        <f t="shared" si="4"/>
        <v>1695</v>
      </c>
    </row>
    <row r="74" spans="1:8" ht="12.75" customHeight="1" x14ac:dyDescent="0.2">
      <c r="A74" s="176">
        <f t="shared" si="0"/>
        <v>6</v>
      </c>
      <c r="B74" s="176">
        <f t="shared" si="1"/>
        <v>2013</v>
      </c>
      <c r="C74" s="176" t="str">
        <f t="shared" si="2"/>
        <v>Income: 1</v>
      </c>
      <c r="D74" s="178">
        <v>41445</v>
      </c>
      <c r="E74" s="172" t="s">
        <v>51</v>
      </c>
      <c r="F74" s="175">
        <v>1695</v>
      </c>
      <c r="G74" s="175"/>
      <c r="H74" s="177">
        <f t="shared" si="4"/>
        <v>0</v>
      </c>
    </row>
    <row r="75" spans="1:8" ht="12.75" customHeight="1" x14ac:dyDescent="0.2">
      <c r="A75" s="176">
        <f t="shared" si="0"/>
        <v>7</v>
      </c>
      <c r="B75" s="176">
        <f t="shared" si="1"/>
        <v>2013</v>
      </c>
      <c r="C75" s="176" t="str">
        <f t="shared" si="2"/>
        <v>Rent: 1</v>
      </c>
      <c r="D75" s="182" t="str">
        <f>MONTH(D73)+1 &amp; "/15/" &amp; YEAR(D73)</f>
        <v>7/15/2013</v>
      </c>
      <c r="E75" s="181" t="str">
        <f>"Rent: "&amp;LOOKUP(A75-1, Months, TextMonths)&amp;" '"&amp;B75</f>
        <v>Rent: Jul '2013</v>
      </c>
      <c r="F75" s="175"/>
      <c r="G75" s="175">
        <v>1695</v>
      </c>
      <c r="H75" s="177">
        <f t="shared" si="4"/>
        <v>1695</v>
      </c>
    </row>
    <row r="76" spans="1:8" ht="12.75" customHeight="1" x14ac:dyDescent="0.2">
      <c r="A76" s="176">
        <f t="shared" si="0"/>
        <v>7</v>
      </c>
      <c r="B76" s="176">
        <f t="shared" si="1"/>
        <v>2013</v>
      </c>
      <c r="C76" s="176" t="str">
        <f t="shared" si="2"/>
        <v>Income: 1</v>
      </c>
      <c r="D76" s="178">
        <v>41473</v>
      </c>
      <c r="E76" s="172" t="s">
        <v>51</v>
      </c>
      <c r="F76" s="175">
        <v>1695</v>
      </c>
      <c r="G76" s="175"/>
      <c r="H76" s="177">
        <f t="shared" si="4"/>
        <v>0</v>
      </c>
    </row>
    <row r="77" spans="1:8" ht="12.75" customHeight="1" x14ac:dyDescent="0.2">
      <c r="A77" s="176">
        <f t="shared" si="0"/>
        <v>8</v>
      </c>
      <c r="B77" s="176">
        <f t="shared" si="1"/>
        <v>2013</v>
      </c>
      <c r="C77" s="176" t="str">
        <f t="shared" si="2"/>
        <v>Rent: 1</v>
      </c>
      <c r="D77" s="182" t="str">
        <f>MONTH(D75)+1 &amp; "/15/" &amp; YEAR(D75)</f>
        <v>8/15/2013</v>
      </c>
      <c r="E77" s="181" t="str">
        <f>"Rent: "&amp;LOOKUP(A77-1, Months, TextMonths)&amp;" '"&amp;B77</f>
        <v>Rent: Aug '2013</v>
      </c>
      <c r="F77" s="175"/>
      <c r="G77" s="175">
        <v>1695</v>
      </c>
      <c r="H77" s="177">
        <f t="shared" si="4"/>
        <v>1695</v>
      </c>
    </row>
    <row r="78" spans="1:8" ht="12.75" customHeight="1" x14ac:dyDescent="0.2">
      <c r="A78" s="176">
        <f t="shared" si="0"/>
        <v>8</v>
      </c>
      <c r="B78" s="176">
        <f t="shared" si="1"/>
        <v>2013</v>
      </c>
      <c r="C78" s="176" t="str">
        <f t="shared" si="2"/>
        <v>Income: 1</v>
      </c>
      <c r="D78" s="178">
        <v>41506</v>
      </c>
      <c r="E78" s="172" t="s">
        <v>51</v>
      </c>
      <c r="F78" s="175">
        <v>1695</v>
      </c>
      <c r="G78" s="175"/>
      <c r="H78" s="177">
        <f t="shared" si="4"/>
        <v>0</v>
      </c>
    </row>
    <row r="79" spans="1:8" ht="12.75" customHeight="1" x14ac:dyDescent="0.2">
      <c r="A79" s="176">
        <f t="shared" si="0"/>
        <v>9</v>
      </c>
      <c r="B79" s="176">
        <f t="shared" si="1"/>
        <v>2013</v>
      </c>
      <c r="C79" s="176" t="str">
        <f t="shared" si="2"/>
        <v>Rent: 1</v>
      </c>
      <c r="D79" s="182" t="str">
        <f>MONTH(D77)+1 &amp; "/15/" &amp; YEAR(D77)</f>
        <v>9/15/2013</v>
      </c>
      <c r="E79" s="181" t="str">
        <f>"Rent: "&amp;LOOKUP(A79-1, Months, TextMonths)&amp;" '"&amp;B79</f>
        <v>Rent: Sep '2013</v>
      </c>
      <c r="F79" s="175"/>
      <c r="G79" s="175">
        <v>1695</v>
      </c>
      <c r="H79" s="177">
        <f t="shared" si="4"/>
        <v>1695</v>
      </c>
    </row>
    <row r="80" spans="1:8" ht="12.75" customHeight="1" x14ac:dyDescent="0.2">
      <c r="A80" s="176">
        <f t="shared" si="0"/>
        <v>9</v>
      </c>
      <c r="B80" s="176">
        <f t="shared" si="1"/>
        <v>2013</v>
      </c>
      <c r="C80" s="176" t="str">
        <f t="shared" si="2"/>
        <v>Income: 1</v>
      </c>
      <c r="D80" s="178">
        <v>41536</v>
      </c>
      <c r="E80" s="172" t="s">
        <v>51</v>
      </c>
      <c r="F80" s="175">
        <v>1695</v>
      </c>
      <c r="G80" s="175"/>
      <c r="H80" s="177">
        <f t="shared" si="4"/>
        <v>0</v>
      </c>
    </row>
    <row r="81" spans="1:9" ht="12.75" customHeight="1" x14ac:dyDescent="0.2">
      <c r="A81" s="176">
        <f t="shared" si="0"/>
        <v>10</v>
      </c>
      <c r="B81" s="176">
        <f t="shared" si="1"/>
        <v>2013</v>
      </c>
      <c r="C81" s="176" t="str">
        <f t="shared" si="2"/>
        <v>Rent: 1</v>
      </c>
      <c r="D81" s="182" t="str">
        <f>MONTH(D79)+1 &amp; "/15/" &amp; YEAR(D79)</f>
        <v>10/15/2013</v>
      </c>
      <c r="E81" s="181" t="str">
        <f>"Rent: "&amp;LOOKUP(A81-1, Months, TextMonths)&amp;" '"&amp;B81</f>
        <v>Rent: Oct '2013</v>
      </c>
      <c r="F81" s="175"/>
      <c r="G81" s="175">
        <v>1695</v>
      </c>
      <c r="H81" s="177">
        <f t="shared" si="4"/>
        <v>1695</v>
      </c>
    </row>
    <row r="82" spans="1:9" ht="12.75" customHeight="1" x14ac:dyDescent="0.2">
      <c r="A82" s="176">
        <f t="shared" si="0"/>
        <v>10</v>
      </c>
      <c r="B82" s="176">
        <f t="shared" si="1"/>
        <v>2013</v>
      </c>
      <c r="C82" s="176" t="str">
        <f t="shared" si="2"/>
        <v>Income: 1</v>
      </c>
      <c r="D82" s="178">
        <v>41565</v>
      </c>
      <c r="E82" s="172" t="s">
        <v>51</v>
      </c>
      <c r="F82" s="175">
        <v>1695</v>
      </c>
      <c r="G82" s="175"/>
      <c r="H82" s="177">
        <f t="shared" si="4"/>
        <v>0</v>
      </c>
    </row>
    <row r="83" spans="1:9" ht="12.75" customHeight="1" x14ac:dyDescent="0.2">
      <c r="A83" s="176">
        <f t="shared" si="0"/>
        <v>11</v>
      </c>
      <c r="B83" s="176">
        <f t="shared" si="1"/>
        <v>2013</v>
      </c>
      <c r="C83" s="176" t="str">
        <f t="shared" si="2"/>
        <v>Rent: 1</v>
      </c>
      <c r="D83" s="182" t="str">
        <f>MONTH(D81)+1 &amp; "/15/" &amp; YEAR(D81)</f>
        <v>11/15/2013</v>
      </c>
      <c r="E83" s="181" t="str">
        <f>"Rent: "&amp;LOOKUP(A83-1, Months, TextMonths)&amp;" '"&amp;B83</f>
        <v>Rent: Nov '2013</v>
      </c>
      <c r="F83" s="175"/>
      <c r="G83" s="175">
        <v>1695</v>
      </c>
      <c r="H83" s="177">
        <f t="shared" si="4"/>
        <v>1695</v>
      </c>
    </row>
    <row r="84" spans="1:9" ht="12.75" customHeight="1" x14ac:dyDescent="0.2">
      <c r="A84" s="176">
        <f t="shared" si="0"/>
        <v>11</v>
      </c>
      <c r="B84" s="176">
        <f t="shared" si="1"/>
        <v>2013</v>
      </c>
      <c r="C84" s="176" t="str">
        <f t="shared" si="2"/>
        <v>Income: 1</v>
      </c>
      <c r="D84" s="178">
        <v>41598</v>
      </c>
      <c r="E84" s="172" t="s">
        <v>51</v>
      </c>
      <c r="F84" s="175">
        <v>1695</v>
      </c>
      <c r="G84" s="175"/>
      <c r="H84" s="177">
        <f t="shared" si="4"/>
        <v>0</v>
      </c>
    </row>
    <row r="85" spans="1:9" ht="12.75" customHeight="1" x14ac:dyDescent="0.2">
      <c r="A85" s="176">
        <f t="shared" si="0"/>
        <v>12</v>
      </c>
      <c r="B85" s="176">
        <f t="shared" si="1"/>
        <v>2013</v>
      </c>
      <c r="C85" s="176" t="str">
        <f t="shared" si="2"/>
        <v>Rent: 1</v>
      </c>
      <c r="D85" s="182" t="str">
        <f>MONTH(D83)+1 &amp; "/15/" &amp; YEAR(D83)</f>
        <v>12/15/2013</v>
      </c>
      <c r="E85" s="181" t="str">
        <f>"Rent: "&amp;LOOKUP(A85-1, Months, TextMonths)&amp;" '"&amp;B85</f>
        <v>Rent: Dec '2013</v>
      </c>
      <c r="F85" s="175"/>
      <c r="G85" s="175">
        <v>1695</v>
      </c>
      <c r="H85" s="177">
        <f t="shared" si="4"/>
        <v>1695</v>
      </c>
      <c r="I85" s="172"/>
    </row>
    <row r="86" spans="1:9" ht="12.75" customHeight="1" x14ac:dyDescent="0.2">
      <c r="A86" s="176">
        <f t="shared" si="0"/>
        <v>12</v>
      </c>
      <c r="B86" s="176">
        <f t="shared" si="1"/>
        <v>2013</v>
      </c>
      <c r="C86" s="176" t="str">
        <f t="shared" si="2"/>
        <v>Income: 1</v>
      </c>
      <c r="D86" s="178">
        <v>41627</v>
      </c>
      <c r="E86" s="172" t="s">
        <v>51</v>
      </c>
      <c r="F86" s="175">
        <v>1695</v>
      </c>
      <c r="G86" s="175"/>
      <c r="H86" s="177">
        <f t="shared" si="4"/>
        <v>0</v>
      </c>
      <c r="I86" s="175"/>
    </row>
    <row r="87" spans="1:9" ht="12.75" customHeight="1" x14ac:dyDescent="0.2">
      <c r="A87" s="176">
        <f t="shared" si="0"/>
        <v>1</v>
      </c>
      <c r="B87" s="176">
        <f t="shared" si="1"/>
        <v>2014</v>
      </c>
      <c r="C87" s="176" t="str">
        <f t="shared" si="2"/>
        <v>Rent: 1</v>
      </c>
      <c r="D87" s="183">
        <v>41654</v>
      </c>
      <c r="E87" s="181" t="str">
        <f>"Rent: "&amp;LOOKUP(A87-1, Months, TextMonths)&amp;" '"&amp;B87</f>
        <v>Rent: Jan '2014</v>
      </c>
      <c r="F87" s="175"/>
      <c r="G87" s="175">
        <v>1695</v>
      </c>
      <c r="H87" s="177">
        <f t="shared" si="4"/>
        <v>1695</v>
      </c>
    </row>
    <row r="88" spans="1:9" ht="12.75" customHeight="1" x14ac:dyDescent="0.2">
      <c r="A88" s="176">
        <f t="shared" si="0"/>
        <v>1</v>
      </c>
      <c r="B88" s="176">
        <f t="shared" si="1"/>
        <v>2014</v>
      </c>
      <c r="C88" s="176" t="str">
        <f t="shared" si="2"/>
        <v>Income: 1</v>
      </c>
      <c r="D88" s="178">
        <v>41660</v>
      </c>
      <c r="E88" s="172" t="s">
        <v>51</v>
      </c>
      <c r="F88" s="175">
        <v>1695</v>
      </c>
      <c r="G88" s="175"/>
      <c r="H88" s="177">
        <f t="shared" si="4"/>
        <v>0</v>
      </c>
    </row>
    <row r="89" spans="1:9" ht="12.75" customHeight="1" x14ac:dyDescent="0.2">
      <c r="A89" s="176">
        <f t="shared" si="0"/>
        <v>2</v>
      </c>
      <c r="B89" s="176">
        <f t="shared" si="1"/>
        <v>2014</v>
      </c>
      <c r="C89" s="176" t="str">
        <f t="shared" si="2"/>
        <v>Rent: 1</v>
      </c>
      <c r="D89" s="182" t="str">
        <f>MONTH(D87)+1 &amp; "/15/" &amp; YEAR(D87)</f>
        <v>2/15/2014</v>
      </c>
      <c r="E89" s="181" t="str">
        <f>"Rent: "&amp;LOOKUP(A89-1, Months, TextMonths)&amp;" '"&amp;B89</f>
        <v>Rent: Feb '2014</v>
      </c>
      <c r="F89" s="175"/>
      <c r="G89" s="175">
        <v>1695</v>
      </c>
      <c r="H89" s="177">
        <f t="shared" si="4"/>
        <v>1695</v>
      </c>
    </row>
    <row r="90" spans="1:9" ht="12.75" customHeight="1" x14ac:dyDescent="0.2">
      <c r="A90" s="176">
        <f t="shared" si="0"/>
        <v>2</v>
      </c>
      <c r="B90" s="176">
        <f t="shared" si="1"/>
        <v>2014</v>
      </c>
      <c r="C90" s="176" t="str">
        <f t="shared" si="2"/>
        <v>Income: 1</v>
      </c>
      <c r="D90" s="178">
        <v>41691</v>
      </c>
      <c r="E90" s="172" t="s">
        <v>51</v>
      </c>
      <c r="F90" s="175">
        <v>1695</v>
      </c>
      <c r="G90" s="175"/>
      <c r="H90" s="177">
        <f t="shared" si="4"/>
        <v>0</v>
      </c>
    </row>
    <row r="91" spans="1:9" ht="12.75" customHeight="1" x14ac:dyDescent="0.2">
      <c r="A91" s="176">
        <f t="shared" si="0"/>
        <v>3</v>
      </c>
      <c r="B91" s="176">
        <f t="shared" si="1"/>
        <v>2014</v>
      </c>
      <c r="C91" s="176" t="str">
        <f t="shared" si="2"/>
        <v>Rent: 1</v>
      </c>
      <c r="D91" s="182" t="str">
        <f>MONTH(D89)+1 &amp; "/15/" &amp; YEAR(D89)</f>
        <v>3/15/2014</v>
      </c>
      <c r="E91" s="181" t="str">
        <f>"Rent: "&amp;LOOKUP(A91-1, Months, TextMonths)&amp;" '"&amp;B91</f>
        <v>Rent: Mar '2014</v>
      </c>
      <c r="F91" s="175"/>
      <c r="G91" s="175">
        <v>1695</v>
      </c>
      <c r="H91" s="177">
        <f t="shared" si="4"/>
        <v>1695</v>
      </c>
    </row>
    <row r="92" spans="1:9" ht="12.75" customHeight="1" x14ac:dyDescent="0.2">
      <c r="A92" s="176">
        <f t="shared" si="0"/>
        <v>3</v>
      </c>
      <c r="B92" s="176">
        <f t="shared" si="1"/>
        <v>2014</v>
      </c>
      <c r="C92" s="176" t="str">
        <f t="shared" si="2"/>
        <v>Income: 1</v>
      </c>
      <c r="D92" s="178">
        <v>41718</v>
      </c>
      <c r="E92" s="172" t="s">
        <v>51</v>
      </c>
      <c r="F92" s="175">
        <v>1695</v>
      </c>
      <c r="G92" s="175"/>
      <c r="H92" s="177">
        <f t="shared" si="4"/>
        <v>0</v>
      </c>
    </row>
    <row r="93" spans="1:9" ht="12.75" customHeight="1" x14ac:dyDescent="0.2">
      <c r="A93" s="176">
        <f t="shared" si="0"/>
        <v>4</v>
      </c>
      <c r="B93" s="176">
        <f t="shared" si="1"/>
        <v>2014</v>
      </c>
      <c r="C93" s="176" t="str">
        <f t="shared" si="2"/>
        <v>Rent: 1</v>
      </c>
      <c r="D93" s="182" t="str">
        <f>MONTH(D91)+1 &amp; "/15/" &amp; YEAR(D91)</f>
        <v>4/15/2014</v>
      </c>
      <c r="E93" s="181" t="str">
        <f>"Rent: "&amp;LOOKUP(A93-1, Months, TextMonths)&amp;" '"&amp;B93</f>
        <v>Rent: Apr '2014</v>
      </c>
      <c r="F93" s="175"/>
      <c r="G93" s="175">
        <v>1770</v>
      </c>
      <c r="H93" s="177">
        <f t="shared" si="4"/>
        <v>1770</v>
      </c>
      <c r="I93" s="172"/>
    </row>
    <row r="94" spans="1:9" ht="12.75" customHeight="1" x14ac:dyDescent="0.2">
      <c r="A94" s="176">
        <f t="shared" si="0"/>
        <v>5</v>
      </c>
      <c r="B94" s="176">
        <f t="shared" si="1"/>
        <v>2014</v>
      </c>
      <c r="C94" s="176" t="str">
        <f t="shared" si="2"/>
        <v>Income: 1</v>
      </c>
      <c r="D94" s="178">
        <v>41779</v>
      </c>
      <c r="E94" s="172" t="s">
        <v>51</v>
      </c>
      <c r="F94" s="175">
        <v>1770</v>
      </c>
      <c r="G94" s="175"/>
      <c r="H94" s="177">
        <f t="shared" si="4"/>
        <v>0</v>
      </c>
    </row>
    <row r="95" spans="1:9" ht="12.75" customHeight="1" x14ac:dyDescent="0.2">
      <c r="A95" s="176">
        <f t="shared" si="0"/>
        <v>5</v>
      </c>
      <c r="B95" s="176">
        <f t="shared" si="1"/>
        <v>2014</v>
      </c>
      <c r="C95" s="176" t="str">
        <f t="shared" si="2"/>
        <v>Rent: 1</v>
      </c>
      <c r="D95" s="182" t="str">
        <f>MONTH(D93)+1 &amp; "/15/" &amp; YEAR(D93)</f>
        <v>5/15/2014</v>
      </c>
      <c r="E95" s="181" t="str">
        <f>"Rent: "&amp;LOOKUP(A95-1, Months, TextMonths)&amp;" '"&amp;B95</f>
        <v>Rent: May '2014</v>
      </c>
      <c r="F95" s="175"/>
      <c r="G95" s="175">
        <v>1770</v>
      </c>
      <c r="H95" s="177">
        <f t="shared" si="4"/>
        <v>1770</v>
      </c>
    </row>
    <row r="96" spans="1:9" ht="12.75" customHeight="1" x14ac:dyDescent="0.2">
      <c r="A96" s="176">
        <f t="shared" si="0"/>
        <v>5</v>
      </c>
      <c r="B96" s="176">
        <f t="shared" si="1"/>
        <v>2014</v>
      </c>
      <c r="C96" s="176" t="str">
        <f t="shared" si="2"/>
        <v>Income: 1</v>
      </c>
      <c r="D96" s="178">
        <v>41779</v>
      </c>
      <c r="E96" s="172" t="s">
        <v>51</v>
      </c>
      <c r="F96" s="175">
        <v>1770</v>
      </c>
      <c r="G96" s="175"/>
      <c r="H96" s="177">
        <f t="shared" si="4"/>
        <v>0</v>
      </c>
    </row>
    <row r="97" spans="1:8" ht="12.75" customHeight="1" x14ac:dyDescent="0.2">
      <c r="A97" s="176">
        <f t="shared" si="0"/>
        <v>6</v>
      </c>
      <c r="B97" s="176">
        <f t="shared" si="1"/>
        <v>2014</v>
      </c>
      <c r="C97" s="176" t="str">
        <f t="shared" si="2"/>
        <v>Rent: 1</v>
      </c>
      <c r="D97" s="182" t="str">
        <f>MONTH(D95)+1 &amp; "/15/" &amp; YEAR(D95)</f>
        <v>6/15/2014</v>
      </c>
      <c r="E97" s="181" t="str">
        <f>"Rent: "&amp;LOOKUP(A97-1, Months, TextMonths)&amp;" '"&amp;B97</f>
        <v>Rent: Jun '2014</v>
      </c>
      <c r="F97" s="175"/>
      <c r="G97" s="175">
        <v>1770</v>
      </c>
      <c r="H97" s="177">
        <f t="shared" si="4"/>
        <v>1770</v>
      </c>
    </row>
    <row r="98" spans="1:8" ht="12.75" customHeight="1" x14ac:dyDescent="0.2">
      <c r="A98" s="176">
        <f t="shared" si="0"/>
        <v>6</v>
      </c>
      <c r="B98" s="176">
        <f t="shared" si="1"/>
        <v>2014</v>
      </c>
      <c r="C98" s="176" t="str">
        <f t="shared" si="2"/>
        <v>Income: 1</v>
      </c>
      <c r="D98" s="178">
        <v>41810</v>
      </c>
      <c r="E98" s="172" t="s">
        <v>51</v>
      </c>
      <c r="F98" s="175">
        <v>1770</v>
      </c>
      <c r="G98" s="175"/>
      <c r="H98" s="177">
        <f t="shared" si="4"/>
        <v>0</v>
      </c>
    </row>
    <row r="99" spans="1:8" ht="12.75" customHeight="1" x14ac:dyDescent="0.2">
      <c r="A99" s="176">
        <f t="shared" si="0"/>
        <v>7</v>
      </c>
      <c r="B99" s="176">
        <f t="shared" si="1"/>
        <v>2014</v>
      </c>
      <c r="C99" s="176" t="str">
        <f t="shared" si="2"/>
        <v>Rent: 1</v>
      </c>
      <c r="D99" s="182" t="str">
        <f>MONTH(D97)+1 &amp; "/15/" &amp; YEAR(D97)</f>
        <v>7/15/2014</v>
      </c>
      <c r="E99" s="181" t="str">
        <f>"Rent: "&amp;LOOKUP(A99-1, Months, TextMonths)&amp;" '"&amp;B99</f>
        <v>Rent: Jul '2014</v>
      </c>
      <c r="F99" s="175"/>
      <c r="G99" s="175">
        <v>1770</v>
      </c>
      <c r="H99" s="177">
        <f t="shared" si="4"/>
        <v>1770</v>
      </c>
    </row>
    <row r="100" spans="1:8" ht="12.75" customHeight="1" x14ac:dyDescent="0.2">
      <c r="A100" s="176">
        <f t="shared" si="0"/>
        <v>7</v>
      </c>
      <c r="B100" s="176">
        <f t="shared" si="1"/>
        <v>2014</v>
      </c>
      <c r="C100" s="176" t="str">
        <f t="shared" si="2"/>
        <v>Income: 1</v>
      </c>
      <c r="D100" s="178">
        <v>41841</v>
      </c>
      <c r="E100" s="172" t="s">
        <v>51</v>
      </c>
      <c r="F100" s="175">
        <v>1770</v>
      </c>
      <c r="G100" s="175"/>
      <c r="H100" s="177">
        <f t="shared" si="4"/>
        <v>0</v>
      </c>
    </row>
    <row r="101" spans="1:8" ht="12.75" customHeight="1" x14ac:dyDescent="0.2">
      <c r="A101" s="176">
        <f t="shared" si="0"/>
        <v>8</v>
      </c>
      <c r="B101" s="176">
        <f t="shared" si="1"/>
        <v>2014</v>
      </c>
      <c r="C101" s="176" t="str">
        <f t="shared" si="2"/>
        <v>Rent: 1</v>
      </c>
      <c r="D101" s="182" t="str">
        <f>MONTH(D99)+1 &amp; "/15/" &amp; YEAR(D99)</f>
        <v>8/15/2014</v>
      </c>
      <c r="E101" s="181" t="str">
        <f>"Rent: "&amp;LOOKUP(A101-1, Months, TextMonths)&amp;" '"&amp;B101</f>
        <v>Rent: Aug '2014</v>
      </c>
      <c r="F101" s="175"/>
      <c r="G101" s="175">
        <v>1770</v>
      </c>
      <c r="H101" s="177">
        <f t="shared" si="4"/>
        <v>1770</v>
      </c>
    </row>
    <row r="102" spans="1:8" ht="12.75" customHeight="1" x14ac:dyDescent="0.2">
      <c r="A102" s="176">
        <f t="shared" si="0"/>
        <v>8</v>
      </c>
      <c r="B102" s="176">
        <f t="shared" si="1"/>
        <v>2014</v>
      </c>
      <c r="C102" s="176" t="str">
        <f t="shared" si="2"/>
        <v>Income: 1</v>
      </c>
      <c r="D102" s="178">
        <v>41871</v>
      </c>
      <c r="E102" s="172" t="s">
        <v>51</v>
      </c>
      <c r="F102" s="175">
        <v>1770</v>
      </c>
      <c r="G102" s="175"/>
      <c r="H102" s="177">
        <f t="shared" si="4"/>
        <v>0</v>
      </c>
    </row>
    <row r="103" spans="1:8" ht="12.75" customHeight="1" x14ac:dyDescent="0.2">
      <c r="A103" s="176">
        <f t="shared" si="0"/>
        <v>9</v>
      </c>
      <c r="B103" s="176">
        <f t="shared" si="1"/>
        <v>2014</v>
      </c>
      <c r="C103" s="176" t="str">
        <f t="shared" si="2"/>
        <v>Rent: 1</v>
      </c>
      <c r="D103" s="182" t="str">
        <f>MONTH(D101)+1 &amp; "/15/" &amp; YEAR(D101)</f>
        <v>9/15/2014</v>
      </c>
      <c r="E103" s="181" t="str">
        <f>"Rent: "&amp;LOOKUP(A103-1, Months, TextMonths)&amp;" '"&amp;B103</f>
        <v>Rent: Sep '2014</v>
      </c>
      <c r="F103" s="175"/>
      <c r="G103" s="175">
        <v>1770</v>
      </c>
      <c r="H103" s="177">
        <f t="shared" si="4"/>
        <v>1770</v>
      </c>
    </row>
    <row r="104" spans="1:8" ht="12.75" customHeight="1" x14ac:dyDescent="0.2">
      <c r="A104" s="176">
        <f t="shared" si="0"/>
        <v>9</v>
      </c>
      <c r="B104" s="176">
        <f t="shared" si="1"/>
        <v>2014</v>
      </c>
      <c r="C104" s="176" t="str">
        <f t="shared" si="2"/>
        <v/>
      </c>
      <c r="D104" s="178">
        <v>41902</v>
      </c>
      <c r="E104" s="172" t="s">
        <v>52</v>
      </c>
      <c r="F104" s="175"/>
      <c r="G104" s="175">
        <v>25</v>
      </c>
      <c r="H104" s="177">
        <f t="shared" si="4"/>
        <v>1795</v>
      </c>
    </row>
    <row r="105" spans="1:8" ht="12.75" customHeight="1" x14ac:dyDescent="0.2">
      <c r="A105" s="176">
        <f t="shared" si="0"/>
        <v>9</v>
      </c>
      <c r="B105" s="176">
        <f t="shared" si="1"/>
        <v>2014</v>
      </c>
      <c r="C105" s="176" t="str">
        <f t="shared" si="2"/>
        <v>Income: 1</v>
      </c>
      <c r="D105" s="178">
        <v>41904</v>
      </c>
      <c r="E105" s="172" t="s">
        <v>51</v>
      </c>
      <c r="F105" s="175">
        <v>750</v>
      </c>
      <c r="G105" s="175"/>
      <c r="H105" s="177">
        <f t="shared" si="4"/>
        <v>1045</v>
      </c>
    </row>
    <row r="106" spans="1:8" ht="12.75" customHeight="1" x14ac:dyDescent="0.2">
      <c r="A106" s="176">
        <f t="shared" si="0"/>
        <v>9</v>
      </c>
      <c r="B106" s="176">
        <f t="shared" si="1"/>
        <v>2014</v>
      </c>
      <c r="C106" s="176" t="str">
        <f t="shared" si="2"/>
        <v>Income: 1</v>
      </c>
      <c r="D106" s="178">
        <v>41907</v>
      </c>
      <c r="E106" s="172" t="s">
        <v>51</v>
      </c>
      <c r="F106" s="175">
        <v>1045</v>
      </c>
      <c r="G106" s="175"/>
      <c r="H106" s="177">
        <f t="shared" si="4"/>
        <v>0</v>
      </c>
    </row>
    <row r="107" spans="1:8" ht="12.75" customHeight="1" x14ac:dyDescent="0.2">
      <c r="A107" s="176">
        <f t="shared" si="0"/>
        <v>10</v>
      </c>
      <c r="B107" s="176">
        <f t="shared" si="1"/>
        <v>2014</v>
      </c>
      <c r="C107" s="176" t="str">
        <f t="shared" si="2"/>
        <v>Rent: 1</v>
      </c>
      <c r="D107" s="182" t="str">
        <f>MONTH(D105)+1 &amp; "/15/" &amp; YEAR(D105)</f>
        <v>10/15/2014</v>
      </c>
      <c r="E107" s="181" t="str">
        <f>"Rent: "&amp;LOOKUP(A107-1, Months, TextMonths)&amp;" '"&amp;B107</f>
        <v>Rent: Oct '2014</v>
      </c>
      <c r="F107" s="175"/>
      <c r="G107" s="175">
        <v>1770</v>
      </c>
      <c r="H107" s="177">
        <f t="shared" si="4"/>
        <v>1770</v>
      </c>
    </row>
    <row r="108" spans="1:8" ht="12.75" customHeight="1" x14ac:dyDescent="0.2">
      <c r="A108" s="176">
        <f t="shared" si="0"/>
        <v>10</v>
      </c>
      <c r="B108" s="176">
        <f t="shared" si="1"/>
        <v>2014</v>
      </c>
      <c r="C108" s="176" t="str">
        <f t="shared" si="2"/>
        <v>Income: 1</v>
      </c>
      <c r="D108" s="178">
        <v>41932</v>
      </c>
      <c r="E108" s="172" t="s">
        <v>51</v>
      </c>
      <c r="F108" s="175">
        <v>1770</v>
      </c>
      <c r="G108" s="175"/>
      <c r="H108" s="177">
        <f t="shared" si="4"/>
        <v>0</v>
      </c>
    </row>
    <row r="109" spans="1:8" ht="13.5" customHeight="1" x14ac:dyDescent="0.2">
      <c r="A109" s="176">
        <f t="shared" si="0"/>
        <v>11</v>
      </c>
      <c r="B109" s="176">
        <f t="shared" si="1"/>
        <v>2014</v>
      </c>
      <c r="C109" s="176" t="str">
        <f t="shared" si="2"/>
        <v>Rent: 1</v>
      </c>
      <c r="D109" s="182" t="str">
        <f>MONTH(D107)+1 &amp; "/15/" &amp; YEAR(D107)</f>
        <v>11/15/2014</v>
      </c>
      <c r="E109" s="181" t="str">
        <f>"Rent: "&amp;LOOKUP(A109-1, Months, TextMonths)&amp;" '"&amp;B109</f>
        <v>Rent: Nov '2014</v>
      </c>
      <c r="F109" s="175"/>
      <c r="G109" s="175">
        <v>1770</v>
      </c>
      <c r="H109" s="177">
        <f t="shared" si="4"/>
        <v>1770</v>
      </c>
    </row>
    <row r="110" spans="1:8" ht="12.75" customHeight="1" x14ac:dyDescent="0.2">
      <c r="A110" s="176">
        <f t="shared" si="0"/>
        <v>11</v>
      </c>
      <c r="B110" s="176">
        <f t="shared" si="1"/>
        <v>2014</v>
      </c>
      <c r="C110" s="176" t="str">
        <f t="shared" si="2"/>
        <v>Income: 1</v>
      </c>
      <c r="D110" s="178">
        <v>41964</v>
      </c>
      <c r="E110" s="172" t="s">
        <v>51</v>
      </c>
      <c r="F110" s="175">
        <v>1770</v>
      </c>
      <c r="G110" s="175"/>
      <c r="H110" s="177">
        <f t="shared" si="4"/>
        <v>0</v>
      </c>
    </row>
    <row r="111" spans="1:8" ht="13.5" customHeight="1" x14ac:dyDescent="0.2">
      <c r="A111" s="176">
        <f t="shared" si="0"/>
        <v>12</v>
      </c>
      <c r="B111" s="176">
        <f t="shared" si="1"/>
        <v>2014</v>
      </c>
      <c r="C111" s="176" t="str">
        <f t="shared" si="2"/>
        <v>Rent: 1</v>
      </c>
      <c r="D111" s="182" t="str">
        <f>MONTH(D109)+1 &amp; "/15/" &amp; YEAR(D109)</f>
        <v>12/15/2014</v>
      </c>
      <c r="E111" s="181" t="str">
        <f>"Rent: "&amp;LOOKUP(A111-1, Months, TextMonths)&amp;" '"&amp;B111</f>
        <v>Rent: Dec '2014</v>
      </c>
      <c r="F111" s="175"/>
      <c r="G111" s="175">
        <v>1770</v>
      </c>
      <c r="H111" s="177">
        <f t="shared" si="4"/>
        <v>1770</v>
      </c>
    </row>
    <row r="112" spans="1:8" ht="12.75" customHeight="1" x14ac:dyDescent="0.2">
      <c r="A112" s="176">
        <f t="shared" si="0"/>
        <v>11</v>
      </c>
      <c r="B112" s="176">
        <f t="shared" si="1"/>
        <v>2014</v>
      </c>
      <c r="C112" s="176" t="str">
        <f t="shared" si="2"/>
        <v/>
      </c>
      <c r="D112" s="178">
        <v>41964</v>
      </c>
      <c r="E112" s="172" t="s">
        <v>164</v>
      </c>
      <c r="F112" s="175">
        <f>46.59+663.4+125</f>
        <v>834.99</v>
      </c>
      <c r="G112" s="175"/>
      <c r="H112" s="177">
        <f t="shared" si="4"/>
        <v>935.01</v>
      </c>
    </row>
    <row r="113" spans="1:9" ht="12.75" customHeight="1" x14ac:dyDescent="0.2">
      <c r="A113" s="176">
        <f t="shared" si="0"/>
        <v>11</v>
      </c>
      <c r="B113" s="176">
        <f t="shared" si="1"/>
        <v>2014</v>
      </c>
      <c r="C113" s="176" t="str">
        <f t="shared" si="2"/>
        <v>Income: 1</v>
      </c>
      <c r="D113" s="178">
        <v>41964</v>
      </c>
      <c r="E113" s="172" t="s">
        <v>51</v>
      </c>
      <c r="F113" s="175">
        <v>935.01</v>
      </c>
      <c r="G113" s="175"/>
      <c r="H113" s="177">
        <f t="shared" si="4"/>
        <v>0</v>
      </c>
      <c r="I113" s="172"/>
    </row>
    <row r="114" spans="1:9" ht="13.5" customHeight="1" x14ac:dyDescent="0.2">
      <c r="A114" s="176">
        <f t="shared" si="0"/>
        <v>1</v>
      </c>
      <c r="B114" s="176">
        <f t="shared" si="1"/>
        <v>2015</v>
      </c>
      <c r="C114" s="176" t="str">
        <f t="shared" si="2"/>
        <v>Rent: 1</v>
      </c>
      <c r="D114" s="182">
        <v>42019</v>
      </c>
      <c r="E114" s="181" t="str">
        <f>"Rent: "&amp;LOOKUP(A114-1, Months, TextMonths)&amp;" '"&amp;B114</f>
        <v>Rent: Jan '2015</v>
      </c>
      <c r="F114" s="175"/>
      <c r="G114" s="175">
        <v>1770</v>
      </c>
      <c r="H114" s="177">
        <f t="shared" si="4"/>
        <v>1770</v>
      </c>
      <c r="I114" s="173"/>
    </row>
    <row r="115" spans="1:9" ht="12.75" customHeight="1" x14ac:dyDescent="0.2">
      <c r="A115" s="176">
        <f t="shared" si="0"/>
        <v>1</v>
      </c>
      <c r="B115" s="176">
        <f t="shared" si="1"/>
        <v>2015</v>
      </c>
      <c r="C115" s="176" t="str">
        <f t="shared" si="2"/>
        <v>Income: 1</v>
      </c>
      <c r="D115" s="178">
        <v>42024</v>
      </c>
      <c r="E115" s="172" t="s">
        <v>51</v>
      </c>
      <c r="F115" s="175">
        <v>1770</v>
      </c>
      <c r="G115" s="175"/>
      <c r="H115" s="177">
        <f t="shared" si="4"/>
        <v>0</v>
      </c>
    </row>
    <row r="116" spans="1:9" ht="13.5" customHeight="1" x14ac:dyDescent="0.2">
      <c r="A116" s="176">
        <f t="shared" si="0"/>
        <v>2</v>
      </c>
      <c r="B116" s="176">
        <f t="shared" si="1"/>
        <v>2015</v>
      </c>
      <c r="C116" s="176" t="str">
        <f t="shared" si="2"/>
        <v>Rent: 1</v>
      </c>
      <c r="D116" s="182">
        <v>42050</v>
      </c>
      <c r="E116" s="181" t="str">
        <f>"Rent: "&amp;LOOKUP(A116-1, Months, TextMonths)&amp;" '"&amp;B116</f>
        <v>Rent: Feb '2015</v>
      </c>
      <c r="F116" s="175"/>
      <c r="G116" s="175">
        <v>1770</v>
      </c>
      <c r="H116" s="177">
        <f t="shared" si="4"/>
        <v>1770</v>
      </c>
    </row>
    <row r="117" spans="1:9" ht="12.75" customHeight="1" x14ac:dyDescent="0.2">
      <c r="A117" s="176">
        <f t="shared" si="0"/>
        <v>2</v>
      </c>
      <c r="B117" s="176">
        <f t="shared" si="1"/>
        <v>2015</v>
      </c>
      <c r="C117" s="176" t="str">
        <f t="shared" si="2"/>
        <v>Income: 1</v>
      </c>
      <c r="D117" s="178">
        <v>42055</v>
      </c>
      <c r="E117" s="172" t="s">
        <v>51</v>
      </c>
      <c r="F117" s="175">
        <v>1770</v>
      </c>
      <c r="G117" s="175"/>
      <c r="H117" s="177">
        <f t="shared" si="4"/>
        <v>0</v>
      </c>
    </row>
    <row r="118" spans="1:9" ht="12.75" customHeight="1" x14ac:dyDescent="0.2">
      <c r="A118" s="176">
        <f t="shared" si="0"/>
        <v>3</v>
      </c>
      <c r="B118" s="176">
        <f t="shared" si="1"/>
        <v>2015</v>
      </c>
      <c r="C118" s="176" t="str">
        <f t="shared" si="2"/>
        <v/>
      </c>
      <c r="D118" s="178">
        <v>42072</v>
      </c>
      <c r="E118" s="181" t="s">
        <v>165</v>
      </c>
      <c r="F118" s="175">
        <v>57</v>
      </c>
      <c r="G118" s="175"/>
      <c r="H118" s="177">
        <f t="shared" si="4"/>
        <v>-57</v>
      </c>
    </row>
    <row r="119" spans="1:9" ht="12.75" customHeight="1" x14ac:dyDescent="0.2">
      <c r="A119" s="176">
        <f t="shared" si="0"/>
        <v>3</v>
      </c>
      <c r="B119" s="176">
        <f t="shared" si="1"/>
        <v>2015</v>
      </c>
      <c r="C119" s="176" t="str">
        <f t="shared" si="2"/>
        <v/>
      </c>
      <c r="D119" s="178">
        <v>42072</v>
      </c>
      <c r="E119" s="181" t="s">
        <v>166</v>
      </c>
      <c r="F119" s="175"/>
      <c r="G119" s="175">
        <v>57</v>
      </c>
      <c r="H119" s="177">
        <f t="shared" si="4"/>
        <v>0</v>
      </c>
    </row>
    <row r="120" spans="1:9" ht="13.5" customHeight="1" x14ac:dyDescent="0.2">
      <c r="A120" s="176">
        <f t="shared" si="0"/>
        <v>3</v>
      </c>
      <c r="B120" s="176">
        <f t="shared" si="1"/>
        <v>2015</v>
      </c>
      <c r="C120" s="176" t="str">
        <f t="shared" si="2"/>
        <v>Rent: 1</v>
      </c>
      <c r="D120" s="182">
        <v>42078</v>
      </c>
      <c r="E120" s="181" t="str">
        <f>"Rent: "&amp;LOOKUP(A120-1, Months, TextMonths)&amp;" '"&amp;B120</f>
        <v>Rent: Mar '2015</v>
      </c>
      <c r="F120" s="175"/>
      <c r="G120" s="175">
        <v>1770</v>
      </c>
      <c r="H120" s="177">
        <f t="shared" si="4"/>
        <v>1770</v>
      </c>
    </row>
    <row r="121" spans="1:9" ht="12.75" customHeight="1" x14ac:dyDescent="0.2">
      <c r="A121" s="176">
        <f t="shared" si="0"/>
        <v>3</v>
      </c>
      <c r="B121" s="176">
        <f t="shared" si="1"/>
        <v>2015</v>
      </c>
      <c r="C121" s="176" t="str">
        <f t="shared" si="2"/>
        <v>Income: 1</v>
      </c>
      <c r="D121" s="184">
        <v>42086</v>
      </c>
      <c r="E121" s="172" t="s">
        <v>51</v>
      </c>
      <c r="F121" s="175">
        <v>1770</v>
      </c>
      <c r="G121" s="175"/>
      <c r="H121" s="177">
        <f t="shared" si="4"/>
        <v>0</v>
      </c>
    </row>
    <row r="122" spans="1:9" ht="13.5" customHeight="1" x14ac:dyDescent="0.2">
      <c r="A122" s="176">
        <f t="shared" si="0"/>
        <v>4</v>
      </c>
      <c r="B122" s="176">
        <f t="shared" si="1"/>
        <v>2015</v>
      </c>
      <c r="C122" s="176" t="str">
        <f t="shared" si="2"/>
        <v>Rent: 1</v>
      </c>
      <c r="D122" s="182">
        <v>42109</v>
      </c>
      <c r="E122" s="181" t="str">
        <f>"Rent: "&amp;LOOKUP(A122-1, Months, TextMonths)&amp;" '"&amp;B122</f>
        <v>Rent: Apr '2015</v>
      </c>
      <c r="F122" s="175"/>
      <c r="G122" s="175">
        <v>1770</v>
      </c>
      <c r="H122" s="177">
        <f t="shared" si="4"/>
        <v>1770</v>
      </c>
    </row>
    <row r="123" spans="1:9" ht="12.75" customHeight="1" x14ac:dyDescent="0.2">
      <c r="A123" s="176">
        <f t="shared" si="0"/>
        <v>4</v>
      </c>
      <c r="B123" s="176">
        <f t="shared" si="1"/>
        <v>2015</v>
      </c>
      <c r="C123" s="176" t="str">
        <f t="shared" si="2"/>
        <v>Income: 1</v>
      </c>
      <c r="D123" s="178">
        <v>42114</v>
      </c>
      <c r="E123" s="172" t="s">
        <v>51</v>
      </c>
      <c r="F123" s="175">
        <v>1770</v>
      </c>
      <c r="G123" s="175"/>
      <c r="H123" s="177">
        <f t="shared" si="4"/>
        <v>0</v>
      </c>
    </row>
    <row r="124" spans="1:9" ht="13.5" customHeight="1" x14ac:dyDescent="0.2">
      <c r="A124" s="176">
        <f t="shared" si="0"/>
        <v>5</v>
      </c>
      <c r="B124" s="176">
        <f t="shared" si="1"/>
        <v>2015</v>
      </c>
      <c r="C124" s="176" t="str">
        <f t="shared" si="2"/>
        <v>Rent: 1</v>
      </c>
      <c r="D124" s="182">
        <v>42139</v>
      </c>
      <c r="E124" s="181" t="str">
        <f>"Rent: "&amp;LOOKUP(A124-1, Months, TextMonths)&amp;" '"&amp;B124</f>
        <v>Rent: May '2015</v>
      </c>
      <c r="F124" s="175"/>
      <c r="G124" s="175">
        <v>1820</v>
      </c>
      <c r="H124" s="177">
        <f t="shared" si="4"/>
        <v>1820</v>
      </c>
    </row>
    <row r="125" spans="1:9" ht="12.75" customHeight="1" x14ac:dyDescent="0.2">
      <c r="A125" s="176">
        <f t="shared" si="0"/>
        <v>5</v>
      </c>
      <c r="B125" s="176">
        <f t="shared" si="1"/>
        <v>2015</v>
      </c>
      <c r="C125" s="176" t="str">
        <f t="shared" si="2"/>
        <v>Income: 1</v>
      </c>
      <c r="D125" s="178">
        <v>42144</v>
      </c>
      <c r="E125" s="172" t="s">
        <v>51</v>
      </c>
      <c r="F125" s="175">
        <v>1820</v>
      </c>
      <c r="G125" s="175"/>
      <c r="H125" s="177">
        <f t="shared" si="4"/>
        <v>0</v>
      </c>
    </row>
    <row r="126" spans="1:9" ht="13.5" customHeight="1" x14ac:dyDescent="0.2">
      <c r="A126" s="176">
        <f t="shared" si="0"/>
        <v>6</v>
      </c>
      <c r="B126" s="176">
        <f t="shared" si="1"/>
        <v>2015</v>
      </c>
      <c r="C126" s="176" t="str">
        <f t="shared" si="2"/>
        <v>Rent: 1</v>
      </c>
      <c r="D126" s="182">
        <v>42170</v>
      </c>
      <c r="E126" s="181" t="str">
        <f>"Rent: "&amp;LOOKUP(A126-1, Months, TextMonths)&amp;" '"&amp;B126</f>
        <v>Rent: Jun '2015</v>
      </c>
      <c r="F126" s="175"/>
      <c r="G126" s="175">
        <v>1820</v>
      </c>
      <c r="H126" s="177">
        <f t="shared" si="4"/>
        <v>1820</v>
      </c>
    </row>
    <row r="127" spans="1:9" ht="12.75" customHeight="1" x14ac:dyDescent="0.2">
      <c r="A127" s="176">
        <f t="shared" si="0"/>
        <v>6</v>
      </c>
      <c r="B127" s="176">
        <f t="shared" si="1"/>
        <v>2015</v>
      </c>
      <c r="C127" s="176" t="str">
        <f t="shared" si="2"/>
        <v>Income: 1</v>
      </c>
      <c r="D127" s="178">
        <v>42177</v>
      </c>
      <c r="E127" s="172" t="s">
        <v>51</v>
      </c>
      <c r="F127" s="175">
        <v>1820</v>
      </c>
      <c r="G127" s="175"/>
      <c r="H127" s="177">
        <f t="shared" si="4"/>
        <v>0</v>
      </c>
    </row>
    <row r="128" spans="1:9" ht="13.5" customHeight="1" x14ac:dyDescent="0.2">
      <c r="A128" s="176">
        <f t="shared" si="0"/>
        <v>7</v>
      </c>
      <c r="B128" s="176">
        <f t="shared" si="1"/>
        <v>2015</v>
      </c>
      <c r="C128" s="176" t="str">
        <f t="shared" si="2"/>
        <v>Rent: 1</v>
      </c>
      <c r="D128" s="182">
        <v>42200</v>
      </c>
      <c r="E128" s="181" t="str">
        <f>"Rent: "&amp;LOOKUP(A128-1, Months, TextMonths)&amp;" '"&amp;B128</f>
        <v>Rent: Jul '2015</v>
      </c>
      <c r="F128" s="175"/>
      <c r="G128" s="175">
        <v>1820</v>
      </c>
      <c r="H128" s="177">
        <f t="shared" si="4"/>
        <v>1820</v>
      </c>
    </row>
    <row r="129" spans="1:10" ht="12.75" customHeight="1" x14ac:dyDescent="0.2">
      <c r="A129" s="176">
        <f t="shared" si="0"/>
        <v>7</v>
      </c>
      <c r="B129" s="176">
        <f t="shared" si="1"/>
        <v>2015</v>
      </c>
      <c r="C129" s="176" t="str">
        <f t="shared" si="2"/>
        <v>Income: 1</v>
      </c>
      <c r="D129" s="178">
        <v>42205</v>
      </c>
      <c r="E129" s="172" t="s">
        <v>51</v>
      </c>
      <c r="F129" s="175">
        <v>1820</v>
      </c>
      <c r="G129" s="175"/>
      <c r="H129" s="177">
        <f t="shared" si="4"/>
        <v>0</v>
      </c>
    </row>
    <row r="130" spans="1:10" ht="13.5" customHeight="1" x14ac:dyDescent="0.2">
      <c r="A130" s="176">
        <f t="shared" si="0"/>
        <v>8</v>
      </c>
      <c r="B130" s="176">
        <f t="shared" si="1"/>
        <v>2015</v>
      </c>
      <c r="C130" s="176" t="str">
        <f t="shared" si="2"/>
        <v>Rent: 1</v>
      </c>
      <c r="D130" s="182">
        <v>42231</v>
      </c>
      <c r="E130" s="181" t="str">
        <f>"Rent: "&amp;LOOKUP(A130-1, Months, TextMonths)&amp;" '"&amp;B130</f>
        <v>Rent: Aug '2015</v>
      </c>
      <c r="F130" s="175"/>
      <c r="G130" s="175">
        <v>1820</v>
      </c>
      <c r="H130" s="177">
        <f t="shared" si="4"/>
        <v>1820</v>
      </c>
    </row>
    <row r="131" spans="1:10" ht="12.75" customHeight="1" x14ac:dyDescent="0.2">
      <c r="A131" s="176">
        <f t="shared" si="0"/>
        <v>8</v>
      </c>
      <c r="B131" s="176">
        <f t="shared" si="1"/>
        <v>2015</v>
      </c>
      <c r="C131" s="176" t="str">
        <f t="shared" si="2"/>
        <v>Income: 1</v>
      </c>
      <c r="D131" s="178">
        <v>42236</v>
      </c>
      <c r="E131" s="172" t="s">
        <v>51</v>
      </c>
      <c r="F131" s="175">
        <v>1820</v>
      </c>
      <c r="G131" s="175"/>
      <c r="H131" s="177">
        <f t="shared" si="4"/>
        <v>0</v>
      </c>
    </row>
    <row r="132" spans="1:10" ht="13.5" customHeight="1" x14ac:dyDescent="0.2">
      <c r="A132" s="176">
        <f t="shared" si="0"/>
        <v>9</v>
      </c>
      <c r="B132" s="176">
        <f t="shared" si="1"/>
        <v>2015</v>
      </c>
      <c r="C132" s="176" t="str">
        <f t="shared" si="2"/>
        <v>Rent: 1</v>
      </c>
      <c r="D132" s="182">
        <v>42262</v>
      </c>
      <c r="E132" s="181" t="str">
        <f>"Rent: "&amp;LOOKUP(A132-1, Months, TextMonths)&amp;" '"&amp;B132</f>
        <v>Rent: Sep '2015</v>
      </c>
      <c r="F132" s="175"/>
      <c r="G132" s="175">
        <v>1820</v>
      </c>
      <c r="H132" s="177">
        <f t="shared" si="4"/>
        <v>1820</v>
      </c>
    </row>
    <row r="133" spans="1:10" ht="12.75" customHeight="1" x14ac:dyDescent="0.2">
      <c r="A133" s="176">
        <f t="shared" si="0"/>
        <v>9</v>
      </c>
      <c r="B133" s="176">
        <f t="shared" si="1"/>
        <v>2015</v>
      </c>
      <c r="C133" s="176" t="str">
        <f t="shared" si="2"/>
        <v>Income: 1</v>
      </c>
      <c r="D133" s="178">
        <v>42268</v>
      </c>
      <c r="E133" s="172" t="s">
        <v>51</v>
      </c>
      <c r="F133" s="175">
        <v>1820</v>
      </c>
      <c r="G133" s="175"/>
      <c r="H133" s="177">
        <f t="shared" si="4"/>
        <v>0</v>
      </c>
    </row>
    <row r="134" spans="1:10" ht="13.5" customHeight="1" x14ac:dyDescent="0.2">
      <c r="A134" s="176">
        <f t="shared" si="0"/>
        <v>10</v>
      </c>
      <c r="B134" s="176">
        <f t="shared" si="1"/>
        <v>2015</v>
      </c>
      <c r="C134" s="176" t="str">
        <f t="shared" si="2"/>
        <v>Rent: 1</v>
      </c>
      <c r="D134" s="182" t="str">
        <f>MONTH(D132)+1 &amp; "/15/" &amp; YEAR(D132)</f>
        <v>10/15/2015</v>
      </c>
      <c r="E134" s="181" t="str">
        <f>"Rent: "&amp;LOOKUP(A134-1, Months, TextMonths)&amp;" '"&amp;B134</f>
        <v>Rent: Oct '2015</v>
      </c>
      <c r="F134" s="175"/>
      <c r="G134" s="175">
        <v>1820</v>
      </c>
      <c r="H134" s="177">
        <f t="shared" si="4"/>
        <v>1820</v>
      </c>
    </row>
    <row r="135" spans="1:10" ht="12.75" customHeight="1" x14ac:dyDescent="0.2">
      <c r="A135" s="176">
        <f t="shared" si="0"/>
        <v>10</v>
      </c>
      <c r="B135" s="176">
        <f t="shared" si="1"/>
        <v>2015</v>
      </c>
      <c r="C135" s="176" t="str">
        <f t="shared" si="2"/>
        <v>Income: 1</v>
      </c>
      <c r="D135" s="178">
        <v>42292</v>
      </c>
      <c r="E135" s="172" t="s">
        <v>167</v>
      </c>
      <c r="F135" s="175">
        <v>666.04</v>
      </c>
      <c r="G135" s="175"/>
      <c r="H135" s="177">
        <f t="shared" si="4"/>
        <v>1153.96</v>
      </c>
    </row>
    <row r="136" spans="1:10" ht="12.75" customHeight="1" x14ac:dyDescent="0.2">
      <c r="A136" s="176">
        <f t="shared" si="0"/>
        <v>10</v>
      </c>
      <c r="B136" s="176">
        <f t="shared" si="1"/>
        <v>2015</v>
      </c>
      <c r="C136" s="176" t="str">
        <f t="shared" si="2"/>
        <v>Income: 1</v>
      </c>
      <c r="D136" s="178">
        <v>42297</v>
      </c>
      <c r="E136" s="172" t="s">
        <v>51</v>
      </c>
      <c r="F136" s="175">
        <v>1153.96</v>
      </c>
      <c r="G136" s="175"/>
      <c r="H136" s="177">
        <f t="shared" ref="H136:H168" si="5">H135+G136-F136</f>
        <v>0</v>
      </c>
      <c r="J136" s="172"/>
    </row>
    <row r="137" spans="1:10" ht="13.5" customHeight="1" x14ac:dyDescent="0.2">
      <c r="A137" s="176">
        <f t="shared" si="0"/>
        <v>11</v>
      </c>
      <c r="B137" s="176">
        <f t="shared" si="1"/>
        <v>2015</v>
      </c>
      <c r="C137" s="176" t="str">
        <f t="shared" si="2"/>
        <v>Rent: 1</v>
      </c>
      <c r="D137" s="182" t="str">
        <f>MONTH(D134)+1 &amp; "/15/" &amp; YEAR(D134)</f>
        <v>11/15/2015</v>
      </c>
      <c r="E137" s="181" t="str">
        <f>"Rent: "&amp;LOOKUP(A137-1, Months, TextMonths)&amp;" '"&amp;B137</f>
        <v>Rent: Nov '2015</v>
      </c>
      <c r="F137" s="175"/>
      <c r="G137" s="175">
        <v>1820</v>
      </c>
      <c r="H137" s="177">
        <f t="shared" si="5"/>
        <v>1820</v>
      </c>
    </row>
    <row r="138" spans="1:10" ht="12.75" customHeight="1" x14ac:dyDescent="0.2">
      <c r="A138" s="176">
        <f t="shared" si="0"/>
        <v>11</v>
      </c>
      <c r="B138" s="176">
        <f t="shared" si="1"/>
        <v>2015</v>
      </c>
      <c r="C138" s="176" t="str">
        <f t="shared" si="2"/>
        <v>Income: 1</v>
      </c>
      <c r="D138" s="178">
        <v>42328</v>
      </c>
      <c r="E138" s="172" t="s">
        <v>51</v>
      </c>
      <c r="F138" s="175">
        <v>1820</v>
      </c>
      <c r="G138" s="175"/>
      <c r="H138" s="177">
        <f t="shared" si="5"/>
        <v>0</v>
      </c>
    </row>
    <row r="139" spans="1:10" ht="14.25" customHeight="1" x14ac:dyDescent="0.2">
      <c r="A139" s="176">
        <f t="shared" si="0"/>
        <v>12</v>
      </c>
      <c r="B139" s="176">
        <f t="shared" si="1"/>
        <v>2015</v>
      </c>
      <c r="C139" s="176" t="str">
        <f t="shared" si="2"/>
        <v>Rent: 1</v>
      </c>
      <c r="D139" s="182" t="str">
        <f>MONTH(D138)+1 &amp; "/15/" &amp; YEAR(D138)</f>
        <v>12/15/2015</v>
      </c>
      <c r="E139" s="181" t="str">
        <f>"Rent: "&amp;LOOKUP(A139-1, Months, TextMonths)&amp;" '"&amp;B139</f>
        <v>Rent: Dec '2015</v>
      </c>
      <c r="F139" s="175"/>
      <c r="G139" s="175">
        <v>1820</v>
      </c>
      <c r="H139" s="177">
        <f t="shared" si="5"/>
        <v>1820</v>
      </c>
    </row>
    <row r="140" spans="1:10" ht="12.75" customHeight="1" x14ac:dyDescent="0.2">
      <c r="A140" s="176">
        <f t="shared" si="0"/>
        <v>12</v>
      </c>
      <c r="B140" s="176">
        <f t="shared" si="1"/>
        <v>2015</v>
      </c>
      <c r="C140" s="176" t="str">
        <f t="shared" si="2"/>
        <v>Income: 1</v>
      </c>
      <c r="D140" s="178">
        <v>42353</v>
      </c>
      <c r="E140" s="172" t="s">
        <v>51</v>
      </c>
      <c r="F140" s="175">
        <v>1820</v>
      </c>
      <c r="G140" s="175"/>
      <c r="H140" s="177">
        <f t="shared" si="5"/>
        <v>0</v>
      </c>
    </row>
    <row r="141" spans="1:10" ht="14.25" customHeight="1" x14ac:dyDescent="0.2">
      <c r="A141" s="176">
        <f t="shared" si="0"/>
        <v>1</v>
      </c>
      <c r="B141" s="176">
        <f t="shared" si="1"/>
        <v>2016</v>
      </c>
      <c r="C141" s="176" t="str">
        <f t="shared" si="2"/>
        <v>Rent: 1</v>
      </c>
      <c r="D141" s="182">
        <v>42384</v>
      </c>
      <c r="E141" s="181" t="str">
        <f>"Rent: "&amp;LOOKUP(A141-1, Months, TextMonths)&amp;" '"&amp;B141</f>
        <v>Rent: Jan '2016</v>
      </c>
      <c r="F141" s="175"/>
      <c r="G141" s="175">
        <v>1820</v>
      </c>
      <c r="H141" s="177">
        <f t="shared" si="5"/>
        <v>1820</v>
      </c>
    </row>
    <row r="142" spans="1:10" ht="12.75" customHeight="1" x14ac:dyDescent="0.2">
      <c r="A142" s="176">
        <f t="shared" si="0"/>
        <v>1</v>
      </c>
      <c r="B142" s="176">
        <f t="shared" si="1"/>
        <v>2016</v>
      </c>
      <c r="C142" s="176" t="str">
        <f t="shared" si="2"/>
        <v>Income: 1</v>
      </c>
      <c r="D142" s="178">
        <v>42390</v>
      </c>
      <c r="E142" s="172" t="s">
        <v>51</v>
      </c>
      <c r="F142" s="175">
        <v>1820</v>
      </c>
      <c r="G142" s="175"/>
      <c r="H142" s="177">
        <f t="shared" si="5"/>
        <v>0</v>
      </c>
    </row>
    <row r="143" spans="1:10" ht="14.25" customHeight="1" x14ac:dyDescent="0.2">
      <c r="A143" s="176">
        <f t="shared" si="0"/>
        <v>2</v>
      </c>
      <c r="B143" s="176">
        <f t="shared" si="1"/>
        <v>2016</v>
      </c>
      <c r="C143" s="176" t="str">
        <f t="shared" si="2"/>
        <v>Rent: 1</v>
      </c>
      <c r="D143" s="182" t="str">
        <f>MONTH(D142)+1 &amp; "/15/" &amp; YEAR(D142)</f>
        <v>2/15/2016</v>
      </c>
      <c r="E143" s="181" t="str">
        <f>"Rent: "&amp;LOOKUP(A143-1, Months, TextMonths)&amp;" '"&amp;B143</f>
        <v>Rent: Feb '2016</v>
      </c>
      <c r="F143" s="175"/>
      <c r="G143" s="175">
        <v>1820</v>
      </c>
      <c r="H143" s="177">
        <f t="shared" si="5"/>
        <v>1820</v>
      </c>
    </row>
    <row r="144" spans="1:10" ht="12.75" customHeight="1" x14ac:dyDescent="0.2">
      <c r="A144" s="176">
        <f t="shared" si="0"/>
        <v>2</v>
      </c>
      <c r="B144" s="176">
        <f t="shared" si="1"/>
        <v>2016</v>
      </c>
      <c r="C144" s="176" t="str">
        <f t="shared" si="2"/>
        <v>Income: 1</v>
      </c>
      <c r="D144" s="178">
        <v>42422</v>
      </c>
      <c r="E144" s="172" t="s">
        <v>51</v>
      </c>
      <c r="F144" s="175">
        <v>1820</v>
      </c>
      <c r="G144" s="175"/>
      <c r="H144" s="177">
        <f t="shared" si="5"/>
        <v>0</v>
      </c>
    </row>
    <row r="145" spans="1:9" ht="12.75" customHeight="1" x14ac:dyDescent="0.2">
      <c r="A145" s="176">
        <f t="shared" si="0"/>
        <v>3</v>
      </c>
      <c r="B145" s="176">
        <f t="shared" si="1"/>
        <v>2016</v>
      </c>
      <c r="C145" s="176" t="str">
        <f t="shared" si="2"/>
        <v>Rent: 1</v>
      </c>
      <c r="D145" s="182" t="str">
        <f>MONTH(D144)+1 &amp; "/15/" &amp; YEAR(D144)</f>
        <v>3/15/2016</v>
      </c>
      <c r="E145" s="181" t="str">
        <f>"Rent: "&amp;LOOKUP(A145-1, Months, TextMonths)&amp;" '"&amp;B145</f>
        <v>Rent: Mar '2016</v>
      </c>
      <c r="F145" s="175"/>
      <c r="G145" s="175">
        <v>1820</v>
      </c>
      <c r="H145" s="177">
        <f t="shared" si="5"/>
        <v>1820</v>
      </c>
    </row>
    <row r="146" spans="1:9" ht="12.75" customHeight="1" x14ac:dyDescent="0.2">
      <c r="A146" s="176">
        <f t="shared" si="0"/>
        <v>3</v>
      </c>
      <c r="B146" s="176">
        <f t="shared" si="1"/>
        <v>2016</v>
      </c>
      <c r="C146" s="176" t="str">
        <f t="shared" si="2"/>
        <v>Income: 1</v>
      </c>
      <c r="D146" s="178">
        <v>42447</v>
      </c>
      <c r="E146" s="172" t="s">
        <v>51</v>
      </c>
      <c r="F146" s="175">
        <v>1820</v>
      </c>
      <c r="G146" s="175"/>
      <c r="H146" s="177">
        <f t="shared" si="5"/>
        <v>0</v>
      </c>
    </row>
    <row r="147" spans="1:9" ht="12.75" customHeight="1" x14ac:dyDescent="0.2">
      <c r="A147" s="176">
        <f t="shared" si="0"/>
        <v>4</v>
      </c>
      <c r="B147" s="176">
        <f t="shared" si="1"/>
        <v>2016</v>
      </c>
      <c r="C147" s="176" t="str">
        <f t="shared" si="2"/>
        <v>Rent: 1</v>
      </c>
      <c r="D147" s="182" t="str">
        <f>MONTH(D146)+1 &amp; "/15/" &amp; YEAR(D146)</f>
        <v>4/15/2016</v>
      </c>
      <c r="E147" s="181" t="str">
        <f>"Rent: "&amp;LOOKUP(A147-1, Months, TextMonths)&amp;" '"&amp;B147</f>
        <v>Rent: Apr '2016</v>
      </c>
      <c r="F147" s="175"/>
      <c r="G147" s="175">
        <v>1895</v>
      </c>
      <c r="H147" s="177">
        <f t="shared" si="5"/>
        <v>1895</v>
      </c>
      <c r="I147" s="172"/>
    </row>
    <row r="148" spans="1:9" ht="12.75" customHeight="1" x14ac:dyDescent="0.2">
      <c r="A148" s="176">
        <f t="shared" si="0"/>
        <v>4</v>
      </c>
      <c r="B148" s="176">
        <f t="shared" si="1"/>
        <v>2016</v>
      </c>
      <c r="C148" s="176" t="str">
        <f t="shared" si="2"/>
        <v>Income: 1</v>
      </c>
      <c r="D148" s="178">
        <v>42480</v>
      </c>
      <c r="E148" s="172" t="s">
        <v>51</v>
      </c>
      <c r="F148" s="175">
        <v>1895</v>
      </c>
      <c r="G148" s="175"/>
      <c r="H148" s="177">
        <f t="shared" si="5"/>
        <v>0</v>
      </c>
    </row>
    <row r="149" spans="1:9" ht="12.75" customHeight="1" x14ac:dyDescent="0.2">
      <c r="A149" s="176">
        <f t="shared" si="0"/>
        <v>5</v>
      </c>
      <c r="B149" s="176">
        <f t="shared" si="1"/>
        <v>2016</v>
      </c>
      <c r="C149" s="176" t="str">
        <f t="shared" si="2"/>
        <v>Rent: 1</v>
      </c>
      <c r="D149" s="182" t="str">
        <f>MONTH(D148)+1 &amp; "/15/" &amp; YEAR(D148)</f>
        <v>5/15/2016</v>
      </c>
      <c r="E149" s="181" t="str">
        <f>"Rent: "&amp;LOOKUP(A149-1, Months, TextMonths)&amp;" '"&amp;B149</f>
        <v>Rent: May '2016</v>
      </c>
      <c r="F149" s="175"/>
      <c r="G149" s="175">
        <v>1895</v>
      </c>
      <c r="H149" s="177">
        <f t="shared" si="5"/>
        <v>1895</v>
      </c>
    </row>
    <row r="150" spans="1:9" ht="12.75" customHeight="1" x14ac:dyDescent="0.2">
      <c r="A150" s="176">
        <f t="shared" si="0"/>
        <v>5</v>
      </c>
      <c r="B150" s="176">
        <f t="shared" si="1"/>
        <v>2016</v>
      </c>
      <c r="C150" s="176" t="str">
        <f t="shared" si="2"/>
        <v>Income: 1</v>
      </c>
      <c r="D150" s="178">
        <v>42510</v>
      </c>
      <c r="E150" s="172" t="s">
        <v>51</v>
      </c>
      <c r="F150" s="175">
        <v>1895</v>
      </c>
      <c r="G150" s="175"/>
      <c r="H150" s="177">
        <f t="shared" si="5"/>
        <v>0</v>
      </c>
    </row>
    <row r="151" spans="1:9" ht="12.75" customHeight="1" x14ac:dyDescent="0.2">
      <c r="A151" s="176">
        <f t="shared" si="0"/>
        <v>6</v>
      </c>
      <c r="B151" s="176">
        <f t="shared" si="1"/>
        <v>2016</v>
      </c>
      <c r="C151" s="176" t="str">
        <f t="shared" si="2"/>
        <v>Rent: 1</v>
      </c>
      <c r="D151" s="182" t="str">
        <f>MONTH(D150)+1 &amp; "/15/" &amp; YEAR(D150)</f>
        <v>6/15/2016</v>
      </c>
      <c r="E151" s="181" t="str">
        <f>"Rent: "&amp;LOOKUP(A151-1, Months, TextMonths)&amp;" '"&amp;B151</f>
        <v>Rent: Jun '2016</v>
      </c>
      <c r="F151" s="175"/>
      <c r="G151" s="175">
        <v>1895</v>
      </c>
      <c r="H151" s="177">
        <f t="shared" si="5"/>
        <v>1895</v>
      </c>
    </row>
    <row r="152" spans="1:9" ht="12.75" customHeight="1" x14ac:dyDescent="0.2">
      <c r="A152" s="176">
        <f t="shared" si="0"/>
        <v>6</v>
      </c>
      <c r="B152" s="176">
        <f t="shared" si="1"/>
        <v>2016</v>
      </c>
      <c r="C152" s="176" t="str">
        <f t="shared" si="2"/>
        <v/>
      </c>
      <c r="D152" s="182">
        <v>42541</v>
      </c>
      <c r="E152" s="181" t="s">
        <v>52</v>
      </c>
      <c r="F152" s="175"/>
      <c r="G152" s="175">
        <v>25</v>
      </c>
      <c r="H152" s="177">
        <f t="shared" si="5"/>
        <v>1920</v>
      </c>
    </row>
    <row r="153" spans="1:9" ht="12.75" customHeight="1" x14ac:dyDescent="0.2">
      <c r="A153" s="176">
        <f t="shared" si="0"/>
        <v>6</v>
      </c>
      <c r="B153" s="176">
        <f t="shared" si="1"/>
        <v>2016</v>
      </c>
      <c r="C153" s="176" t="str">
        <f t="shared" si="2"/>
        <v>Income: 1</v>
      </c>
      <c r="D153" s="178">
        <v>42543</v>
      </c>
      <c r="E153" s="172" t="s">
        <v>51</v>
      </c>
      <c r="F153" s="175">
        <v>1920</v>
      </c>
      <c r="G153" s="175"/>
      <c r="H153" s="177">
        <f t="shared" si="5"/>
        <v>0</v>
      </c>
    </row>
    <row r="154" spans="1:9" ht="12.75" customHeight="1" x14ac:dyDescent="0.2">
      <c r="A154" s="176">
        <f t="shared" si="0"/>
        <v>7</v>
      </c>
      <c r="B154" s="176">
        <f t="shared" si="1"/>
        <v>2016</v>
      </c>
      <c r="C154" s="176" t="str">
        <f t="shared" si="2"/>
        <v>Rent: 1</v>
      </c>
      <c r="D154" s="182" t="str">
        <f>MONTH(D153)+1 &amp; "/15/" &amp; YEAR(D153)</f>
        <v>7/15/2016</v>
      </c>
      <c r="E154" s="181" t="str">
        <f>"Rent: "&amp;LOOKUP(A154-1, Months, TextMonths)&amp;" '"&amp;B154</f>
        <v>Rent: Jul '2016</v>
      </c>
      <c r="F154" s="175"/>
      <c r="G154" s="175">
        <v>1895</v>
      </c>
      <c r="H154" s="177">
        <f t="shared" si="5"/>
        <v>1895</v>
      </c>
    </row>
    <row r="155" spans="1:9" ht="12.75" customHeight="1" x14ac:dyDescent="0.2">
      <c r="A155" s="176">
        <f t="shared" si="0"/>
        <v>7</v>
      </c>
      <c r="B155" s="176">
        <f t="shared" si="1"/>
        <v>2016</v>
      </c>
      <c r="C155" s="176" t="str">
        <f t="shared" si="2"/>
        <v/>
      </c>
      <c r="D155" s="182">
        <v>42571</v>
      </c>
      <c r="E155" s="181" t="s">
        <v>52</v>
      </c>
      <c r="F155" s="175"/>
      <c r="G155" s="175">
        <v>25</v>
      </c>
      <c r="H155" s="177">
        <f t="shared" si="5"/>
        <v>1920</v>
      </c>
    </row>
    <row r="156" spans="1:9" ht="12.75" customHeight="1" x14ac:dyDescent="0.2">
      <c r="A156" s="176">
        <f t="shared" si="0"/>
        <v>7</v>
      </c>
      <c r="B156" s="176">
        <f t="shared" si="1"/>
        <v>2016</v>
      </c>
      <c r="C156" s="176" t="str">
        <f t="shared" si="2"/>
        <v>Income: 1</v>
      </c>
      <c r="D156" s="178">
        <v>42572</v>
      </c>
      <c r="E156" s="172" t="s">
        <v>51</v>
      </c>
      <c r="F156" s="175">
        <v>1920</v>
      </c>
      <c r="G156" s="175"/>
      <c r="H156" s="177">
        <f t="shared" si="5"/>
        <v>0</v>
      </c>
    </row>
    <row r="157" spans="1:9" ht="12.75" customHeight="1" x14ac:dyDescent="0.2">
      <c r="A157" s="176">
        <f t="shared" si="0"/>
        <v>8</v>
      </c>
      <c r="B157" s="176">
        <f t="shared" si="1"/>
        <v>2016</v>
      </c>
      <c r="C157" s="176" t="str">
        <f t="shared" si="2"/>
        <v>Rent: 1</v>
      </c>
      <c r="D157" s="182" t="str">
        <f>MONTH(D156)+1 &amp; "/15/" &amp; YEAR(D156)</f>
        <v>8/15/2016</v>
      </c>
      <c r="E157" s="181" t="str">
        <f>"Rent: "&amp;LOOKUP(A157-1, Months, TextMonths)&amp;" '"&amp;B157</f>
        <v>Rent: Aug '2016</v>
      </c>
      <c r="F157" s="175"/>
      <c r="G157" s="175">
        <v>1895</v>
      </c>
      <c r="H157" s="177">
        <f t="shared" si="5"/>
        <v>1895</v>
      </c>
    </row>
    <row r="158" spans="1:9" ht="12.75" customHeight="1" x14ac:dyDescent="0.2">
      <c r="A158" s="176">
        <f t="shared" si="0"/>
        <v>8</v>
      </c>
      <c r="B158" s="176">
        <f t="shared" si="1"/>
        <v>2016</v>
      </c>
      <c r="C158" s="176" t="str">
        <f t="shared" si="2"/>
        <v>Income: 1</v>
      </c>
      <c r="D158" s="178">
        <v>42604</v>
      </c>
      <c r="E158" s="172" t="s">
        <v>51</v>
      </c>
      <c r="F158" s="175">
        <v>1895</v>
      </c>
      <c r="G158" s="175"/>
      <c r="H158" s="177">
        <f t="shared" si="5"/>
        <v>0</v>
      </c>
    </row>
    <row r="159" spans="1:9" ht="12.75" customHeight="1" x14ac:dyDescent="0.2">
      <c r="A159" s="176">
        <f t="shared" si="0"/>
        <v>9</v>
      </c>
      <c r="B159" s="176">
        <f t="shared" si="1"/>
        <v>2016</v>
      </c>
      <c r="C159" s="176" t="str">
        <f t="shared" si="2"/>
        <v>Rent: 1</v>
      </c>
      <c r="D159" s="182" t="str">
        <f>MONTH(D158)+1 &amp; "/15/" &amp; YEAR(D158)</f>
        <v>9/15/2016</v>
      </c>
      <c r="E159" s="181" t="str">
        <f>"Rent: "&amp;LOOKUP(A159-1, Months, TextMonths)&amp;" '"&amp;B159</f>
        <v>Rent: Sep '2016</v>
      </c>
      <c r="F159" s="175"/>
      <c r="G159" s="175">
        <v>1895</v>
      </c>
      <c r="H159" s="177">
        <f t="shared" si="5"/>
        <v>1895</v>
      </c>
    </row>
    <row r="160" spans="1:9" ht="12.75" customHeight="1" x14ac:dyDescent="0.2">
      <c r="A160" s="176">
        <f t="shared" si="0"/>
        <v>9</v>
      </c>
      <c r="B160" s="176">
        <f t="shared" si="1"/>
        <v>2016</v>
      </c>
      <c r="C160" s="176" t="str">
        <f t="shared" si="2"/>
        <v>Income: 1</v>
      </c>
      <c r="D160" s="178">
        <v>42632</v>
      </c>
      <c r="E160" s="172" t="s">
        <v>51</v>
      </c>
      <c r="F160" s="175">
        <v>1895</v>
      </c>
      <c r="G160" s="175"/>
      <c r="H160" s="177">
        <f t="shared" si="5"/>
        <v>0</v>
      </c>
    </row>
    <row r="161" spans="1:10" ht="12.75" customHeight="1" x14ac:dyDescent="0.2">
      <c r="A161" s="176">
        <f t="shared" si="0"/>
        <v>10</v>
      </c>
      <c r="B161" s="176">
        <f t="shared" si="1"/>
        <v>2016</v>
      </c>
      <c r="C161" s="176" t="str">
        <f t="shared" si="2"/>
        <v>Rent: 1</v>
      </c>
      <c r="D161" s="182" t="str">
        <f>MONTH(D160)+1 &amp; "/15/" &amp; YEAR(D160)</f>
        <v>10/15/2016</v>
      </c>
      <c r="E161" s="181" t="str">
        <f>"Rent: "&amp;LOOKUP(A161-1, Months, TextMonths)&amp;" '"&amp;B161</f>
        <v>Rent: Oct '2016</v>
      </c>
      <c r="F161" s="175"/>
      <c r="G161" s="175">
        <v>1895</v>
      </c>
      <c r="H161" s="177">
        <f t="shared" si="5"/>
        <v>1895</v>
      </c>
    </row>
    <row r="162" spans="1:10" ht="12.75" customHeight="1" x14ac:dyDescent="0.2">
      <c r="A162" s="176">
        <f t="shared" si="0"/>
        <v>10</v>
      </c>
      <c r="B162" s="176">
        <f t="shared" si="1"/>
        <v>2016</v>
      </c>
      <c r="C162" s="176" t="str">
        <f t="shared" si="2"/>
        <v>Income: 1</v>
      </c>
      <c r="D162" s="178">
        <v>42661</v>
      </c>
      <c r="E162" s="172" t="s">
        <v>51</v>
      </c>
      <c r="F162" s="175">
        <v>1895</v>
      </c>
      <c r="G162" s="175"/>
      <c r="H162" s="177">
        <f t="shared" si="5"/>
        <v>0</v>
      </c>
    </row>
    <row r="163" spans="1:10" ht="12.75" customHeight="1" x14ac:dyDescent="0.2">
      <c r="A163" s="176">
        <f t="shared" si="0"/>
        <v>11</v>
      </c>
      <c r="B163" s="176">
        <f t="shared" si="1"/>
        <v>2016</v>
      </c>
      <c r="C163" s="176" t="str">
        <f t="shared" si="2"/>
        <v>Rent: 1</v>
      </c>
      <c r="D163" s="182" t="str">
        <f>MONTH(D162)+1 &amp; "/15/" &amp; YEAR(D162)</f>
        <v>11/15/2016</v>
      </c>
      <c r="E163" s="181" t="str">
        <f>"Rent: "&amp;LOOKUP(A163-1, Months, TextMonths)&amp;" '"&amp;B163</f>
        <v>Rent: Nov '2016</v>
      </c>
      <c r="F163" s="175"/>
      <c r="G163" s="175">
        <v>1895</v>
      </c>
      <c r="H163" s="177">
        <f t="shared" si="5"/>
        <v>1895</v>
      </c>
      <c r="I163" s="172"/>
      <c r="J163" s="172"/>
    </row>
    <row r="164" spans="1:10" ht="12.75" customHeight="1" x14ac:dyDescent="0.2">
      <c r="A164" s="176">
        <f t="shared" si="0"/>
        <v>11</v>
      </c>
      <c r="B164" s="176">
        <f t="shared" si="1"/>
        <v>2016</v>
      </c>
      <c r="C164" s="176" t="str">
        <f t="shared" si="2"/>
        <v>Income: 1</v>
      </c>
      <c r="D164" s="178">
        <v>42692</v>
      </c>
      <c r="E164" s="172" t="s">
        <v>51</v>
      </c>
      <c r="F164" s="175">
        <v>1895</v>
      </c>
      <c r="G164" s="175"/>
      <c r="H164" s="177">
        <f t="shared" si="5"/>
        <v>0</v>
      </c>
      <c r="I164" s="173"/>
      <c r="J164" s="173"/>
    </row>
    <row r="165" spans="1:10" ht="12.75" customHeight="1" x14ac:dyDescent="0.2">
      <c r="A165" s="176">
        <f t="shared" si="0"/>
        <v>12</v>
      </c>
      <c r="B165" s="176">
        <f t="shared" si="1"/>
        <v>2016</v>
      </c>
      <c r="C165" s="176" t="str">
        <f t="shared" si="2"/>
        <v>Rent: 1</v>
      </c>
      <c r="D165" s="182" t="str">
        <f>MONTH(D164)+1 &amp; "/15/" &amp; YEAR(D164)</f>
        <v>12/15/2016</v>
      </c>
      <c r="E165" s="181" t="str">
        <f>"Rent: "&amp;LOOKUP(A165-1, Months, TextMonths)&amp;" '"&amp;B165</f>
        <v>Rent: Dec '2016</v>
      </c>
      <c r="F165" s="175"/>
      <c r="G165" s="175">
        <v>1895</v>
      </c>
      <c r="H165" s="177">
        <f t="shared" si="5"/>
        <v>1895</v>
      </c>
    </row>
    <row r="166" spans="1:10" ht="12.75" customHeight="1" thickBot="1" x14ac:dyDescent="0.25">
      <c r="A166" s="176">
        <f t="shared" si="0"/>
        <v>12</v>
      </c>
      <c r="B166" s="176">
        <f t="shared" si="1"/>
        <v>2016</v>
      </c>
      <c r="C166" s="176" t="str">
        <f t="shared" si="2"/>
        <v>Income: 1</v>
      </c>
      <c r="D166" s="178">
        <v>42723</v>
      </c>
      <c r="E166" s="172" t="s">
        <v>51</v>
      </c>
      <c r="F166" s="175">
        <v>1895</v>
      </c>
      <c r="G166" s="175"/>
      <c r="H166" s="177">
        <f t="shared" si="5"/>
        <v>0</v>
      </c>
      <c r="I166" s="173"/>
      <c r="J166" s="173"/>
    </row>
    <row r="167" spans="1:10" ht="12.75" customHeight="1" x14ac:dyDescent="0.2">
      <c r="A167" s="185">
        <f t="shared" si="0"/>
        <v>1</v>
      </c>
      <c r="B167" s="185">
        <f t="shared" si="1"/>
        <v>2017</v>
      </c>
      <c r="C167" s="185" t="str">
        <f t="shared" si="2"/>
        <v>Rent: 1</v>
      </c>
      <c r="D167" s="186" t="str">
        <f>MOD(MONTH(D166), 12)+1 &amp; "/15/" &amp; IF(D166&gt;12, YEAR(D166)+1, YEAR(165))</f>
        <v>1/15/2017</v>
      </c>
      <c r="E167" s="187" t="str">
        <f>"Rent: "&amp;LOOKUP(A167-1, Months, TextMonths)&amp;" '"&amp;B167</f>
        <v>Rent: Jan '2017</v>
      </c>
      <c r="F167" s="188"/>
      <c r="G167" s="188">
        <v>1895</v>
      </c>
      <c r="H167" s="189">
        <f t="shared" si="5"/>
        <v>1895</v>
      </c>
    </row>
    <row r="168" spans="1:10" ht="12.75" customHeight="1" x14ac:dyDescent="0.2">
      <c r="A168" s="176">
        <f t="shared" si="0"/>
        <v>1</v>
      </c>
      <c r="B168" s="176">
        <f t="shared" si="1"/>
        <v>2017</v>
      </c>
      <c r="C168" s="176" t="str">
        <f t="shared" si="2"/>
        <v/>
      </c>
      <c r="D168" s="182" t="str">
        <f>D167</f>
        <v>1/15/2017</v>
      </c>
      <c r="E168" s="181" t="s">
        <v>52</v>
      </c>
      <c r="F168" s="175"/>
      <c r="G168" s="175">
        <v>25</v>
      </c>
      <c r="H168" s="190">
        <f t="shared" si="5"/>
        <v>1920</v>
      </c>
    </row>
    <row r="169" spans="1:10" ht="12.75" customHeight="1" x14ac:dyDescent="0.2">
      <c r="A169" s="176">
        <f t="shared" si="0"/>
        <v>1</v>
      </c>
      <c r="B169" s="176">
        <f t="shared" si="1"/>
        <v>2017</v>
      </c>
      <c r="C169" s="176" t="str">
        <f t="shared" si="2"/>
        <v>Income: 1</v>
      </c>
      <c r="D169" s="178">
        <v>42758</v>
      </c>
      <c r="E169" s="172" t="s">
        <v>51</v>
      </c>
      <c r="F169" s="175">
        <v>1895</v>
      </c>
      <c r="G169" s="175"/>
      <c r="H169" s="190">
        <f>H167+G169-F169</f>
        <v>0</v>
      </c>
    </row>
    <row r="170" spans="1:10" ht="12.75" customHeight="1" x14ac:dyDescent="0.2">
      <c r="A170" s="176">
        <f t="shared" si="0"/>
        <v>2</v>
      </c>
      <c r="B170" s="176">
        <f t="shared" si="1"/>
        <v>2017</v>
      </c>
      <c r="C170" s="176" t="str">
        <f t="shared" si="2"/>
        <v>Rent: 1</v>
      </c>
      <c r="D170" s="182" t="str">
        <f>MOD(MONTH(D169), 12)+1 &amp; "/15/" &amp; IF(MONTH(D169)&gt;12, YEAR(D169)+1, YEAR(D169))</f>
        <v>2/15/2017</v>
      </c>
      <c r="E170" s="181" t="str">
        <f>"Rent: "&amp;LOOKUP(A170-1, Months, TextMonths)&amp;" '"&amp;B170</f>
        <v>Rent: Feb '2017</v>
      </c>
      <c r="F170" s="175"/>
      <c r="G170" s="175">
        <v>1895</v>
      </c>
      <c r="H170" s="190">
        <f t="shared" ref="H170:H233" si="6">H169+G170-F170</f>
        <v>1895</v>
      </c>
    </row>
    <row r="171" spans="1:10" ht="12.75" customHeight="1" x14ac:dyDescent="0.2">
      <c r="A171" s="176">
        <f t="shared" si="0"/>
        <v>2</v>
      </c>
      <c r="B171" s="176">
        <f t="shared" si="1"/>
        <v>2017</v>
      </c>
      <c r="C171" s="176" t="str">
        <f t="shared" si="2"/>
        <v>Income: 1</v>
      </c>
      <c r="D171" s="178">
        <v>42787</v>
      </c>
      <c r="E171" s="172" t="s">
        <v>51</v>
      </c>
      <c r="F171" s="175">
        <v>1895</v>
      </c>
      <c r="G171" s="175"/>
      <c r="H171" s="190">
        <f t="shared" si="6"/>
        <v>0</v>
      </c>
    </row>
    <row r="172" spans="1:10" ht="12.75" customHeight="1" x14ac:dyDescent="0.2">
      <c r="A172" s="176">
        <f t="shared" si="0"/>
        <v>3</v>
      </c>
      <c r="B172" s="176">
        <f t="shared" si="1"/>
        <v>2017</v>
      </c>
      <c r="C172" s="176" t="str">
        <f t="shared" si="2"/>
        <v>Rent: 1</v>
      </c>
      <c r="D172" s="182" t="str">
        <f>MOD(MONTH(D171), 12)+1 &amp; "/15/" &amp; IF(MONTH(D171)&gt;12, YEAR(D171)+1, YEAR(D171))</f>
        <v>3/15/2017</v>
      </c>
      <c r="E172" s="181" t="str">
        <f>"Rent: "&amp;LOOKUP(A172-1, Months, TextMonths)&amp;" '"&amp;B172</f>
        <v>Rent: Mar '2017</v>
      </c>
      <c r="F172" s="175"/>
      <c r="G172" s="175">
        <v>1895</v>
      </c>
      <c r="H172" s="190">
        <f t="shared" si="6"/>
        <v>1895</v>
      </c>
    </row>
    <row r="173" spans="1:10" ht="12.75" customHeight="1" x14ac:dyDescent="0.2">
      <c r="A173" s="176">
        <f t="shared" si="0"/>
        <v>3</v>
      </c>
      <c r="B173" s="176">
        <f t="shared" si="1"/>
        <v>2017</v>
      </c>
      <c r="C173" s="176" t="str">
        <f t="shared" si="2"/>
        <v>Income: 1</v>
      </c>
      <c r="D173" s="178">
        <v>42814</v>
      </c>
      <c r="E173" s="172" t="s">
        <v>51</v>
      </c>
      <c r="F173" s="175">
        <v>1895</v>
      </c>
      <c r="G173" s="175"/>
      <c r="H173" s="190">
        <f t="shared" si="6"/>
        <v>0</v>
      </c>
    </row>
    <row r="174" spans="1:10" ht="12.75" customHeight="1" x14ac:dyDescent="0.2">
      <c r="A174" s="176">
        <f t="shared" si="0"/>
        <v>4</v>
      </c>
      <c r="B174" s="176">
        <f t="shared" si="1"/>
        <v>2017</v>
      </c>
      <c r="C174" s="176" t="str">
        <f t="shared" si="2"/>
        <v>Rent: 1</v>
      </c>
      <c r="D174" s="182" t="str">
        <f>MOD(MONTH(D173), 12)+1 &amp; "/15/" &amp; IF(MONTH(D173)&gt;12, YEAR(D173)+1, YEAR(D173))</f>
        <v>4/15/2017</v>
      </c>
      <c r="E174" s="181" t="str">
        <f>"Rent: "&amp;LOOKUP(A174-1, Months, TextMonths)&amp;" '"&amp;B174</f>
        <v>Rent: Apr '2017</v>
      </c>
      <c r="F174" s="175"/>
      <c r="G174" s="175">
        <v>2225</v>
      </c>
      <c r="H174" s="190">
        <f t="shared" si="6"/>
        <v>2225</v>
      </c>
    </row>
    <row r="175" spans="1:10" ht="12.75" customHeight="1" x14ac:dyDescent="0.2">
      <c r="A175" s="176">
        <f t="shared" si="0"/>
        <v>4</v>
      </c>
      <c r="B175" s="176">
        <f t="shared" si="1"/>
        <v>2017</v>
      </c>
      <c r="C175" s="176" t="str">
        <f t="shared" si="2"/>
        <v/>
      </c>
      <c r="D175" s="182">
        <v>42845</v>
      </c>
      <c r="E175" s="181" t="s">
        <v>52</v>
      </c>
      <c r="F175" s="175"/>
      <c r="G175" s="175">
        <v>25</v>
      </c>
      <c r="H175" s="190">
        <f t="shared" si="6"/>
        <v>2250</v>
      </c>
    </row>
    <row r="176" spans="1:10" ht="12.75" customHeight="1" x14ac:dyDescent="0.2">
      <c r="A176" s="176">
        <f t="shared" si="0"/>
        <v>4</v>
      </c>
      <c r="B176" s="176">
        <f t="shared" si="1"/>
        <v>2017</v>
      </c>
      <c r="C176" s="176" t="str">
        <f t="shared" si="2"/>
        <v>Income: 1</v>
      </c>
      <c r="D176" s="178">
        <v>42849</v>
      </c>
      <c r="E176" s="172" t="s">
        <v>51</v>
      </c>
      <c r="F176" s="175">
        <v>2250</v>
      </c>
      <c r="G176" s="175"/>
      <c r="H176" s="190">
        <f t="shared" si="6"/>
        <v>0</v>
      </c>
    </row>
    <row r="177" spans="1:8" ht="12.75" customHeight="1" x14ac:dyDescent="0.2">
      <c r="A177" s="176">
        <f t="shared" si="0"/>
        <v>5</v>
      </c>
      <c r="B177" s="176">
        <f t="shared" si="1"/>
        <v>2017</v>
      </c>
      <c r="C177" s="176" t="str">
        <f t="shared" si="2"/>
        <v>Rent: 1</v>
      </c>
      <c r="D177" s="182" t="str">
        <f>MOD(MONTH(D176), 12)+1 &amp; "/15/" &amp; IF(MONTH(D176)&gt;12, YEAR(D176)+1, YEAR(D176))</f>
        <v>5/15/2017</v>
      </c>
      <c r="E177" s="181" t="str">
        <f>"Rent: "&amp;LOOKUP(A177-1, Months, TextMonths)&amp;" '"&amp;B177</f>
        <v>Rent: May '2017</v>
      </c>
      <c r="F177" s="175"/>
      <c r="G177" s="175">
        <v>2225</v>
      </c>
      <c r="H177" s="190">
        <f t="shared" si="6"/>
        <v>2225</v>
      </c>
    </row>
    <row r="178" spans="1:8" ht="12.75" customHeight="1" x14ac:dyDescent="0.2">
      <c r="A178" s="176">
        <f t="shared" si="0"/>
        <v>5</v>
      </c>
      <c r="B178" s="176">
        <f t="shared" si="1"/>
        <v>2017</v>
      </c>
      <c r="C178" s="176" t="str">
        <f t="shared" si="2"/>
        <v>Income: 1</v>
      </c>
      <c r="D178" s="178">
        <v>42877</v>
      </c>
      <c r="E178" s="172" t="s">
        <v>51</v>
      </c>
      <c r="F178" s="175">
        <v>2225</v>
      </c>
      <c r="G178" s="175"/>
      <c r="H178" s="190">
        <f t="shared" si="6"/>
        <v>0</v>
      </c>
    </row>
    <row r="179" spans="1:8" ht="12.75" customHeight="1" x14ac:dyDescent="0.2">
      <c r="A179" s="176">
        <f t="shared" si="0"/>
        <v>6</v>
      </c>
      <c r="B179" s="176">
        <f t="shared" si="1"/>
        <v>2017</v>
      </c>
      <c r="C179" s="176" t="str">
        <f t="shared" si="2"/>
        <v>Rent: 1</v>
      </c>
      <c r="D179" s="182" t="str">
        <f>MOD(MONTH(D178), 12)+1 &amp; "/15/" &amp; IF(MONTH(D178)&gt;12, YEAR(D178)+1, YEAR(D178))</f>
        <v>6/15/2017</v>
      </c>
      <c r="E179" s="181" t="str">
        <f>"Rent: "&amp;LOOKUP(A179-1, Months, TextMonths)&amp;" '"&amp;B179</f>
        <v>Rent: Jun '2017</v>
      </c>
      <c r="F179" s="175"/>
      <c r="G179" s="175">
        <v>2225</v>
      </c>
      <c r="H179" s="190">
        <f t="shared" si="6"/>
        <v>2225</v>
      </c>
    </row>
    <row r="180" spans="1:8" ht="12.75" customHeight="1" x14ac:dyDescent="0.2">
      <c r="A180" s="176">
        <f t="shared" si="0"/>
        <v>6</v>
      </c>
      <c r="B180" s="176">
        <f t="shared" si="1"/>
        <v>2017</v>
      </c>
      <c r="C180" s="176" t="str">
        <f t="shared" si="2"/>
        <v/>
      </c>
      <c r="D180" s="182">
        <v>42906</v>
      </c>
      <c r="E180" s="181" t="s">
        <v>52</v>
      </c>
      <c r="F180" s="175"/>
      <c r="G180" s="175">
        <v>25</v>
      </c>
      <c r="H180" s="190">
        <f t="shared" si="6"/>
        <v>2250</v>
      </c>
    </row>
    <row r="181" spans="1:8" ht="12.75" customHeight="1" x14ac:dyDescent="0.2">
      <c r="A181" s="176">
        <f t="shared" si="0"/>
        <v>6</v>
      </c>
      <c r="B181" s="176">
        <f t="shared" si="1"/>
        <v>2017</v>
      </c>
      <c r="C181" s="176" t="str">
        <f t="shared" si="2"/>
        <v>Income: 1</v>
      </c>
      <c r="D181" s="178">
        <v>42907</v>
      </c>
      <c r="E181" s="172" t="s">
        <v>51</v>
      </c>
      <c r="F181" s="175">
        <v>2250</v>
      </c>
      <c r="G181" s="175"/>
      <c r="H181" s="190">
        <f t="shared" si="6"/>
        <v>0</v>
      </c>
    </row>
    <row r="182" spans="1:8" ht="12.75" customHeight="1" x14ac:dyDescent="0.2">
      <c r="A182" s="176">
        <f t="shared" si="0"/>
        <v>7</v>
      </c>
      <c r="B182" s="176">
        <f t="shared" si="1"/>
        <v>2017</v>
      </c>
      <c r="C182" s="176" t="str">
        <f t="shared" si="2"/>
        <v>Rent: 1</v>
      </c>
      <c r="D182" s="182" t="str">
        <f>MOD(MONTH(D181), 12)+1 &amp; "/15/" &amp; IF(MONTH(D181)&gt;12, YEAR(D181)+1, YEAR(D181))</f>
        <v>7/15/2017</v>
      </c>
      <c r="E182" s="181" t="str">
        <f>"Rent: "&amp;LOOKUP(A182-1, Months, TextMonths)&amp;" '"&amp;B182</f>
        <v>Rent: Jul '2017</v>
      </c>
      <c r="F182" s="175"/>
      <c r="G182" s="175">
        <v>2225</v>
      </c>
      <c r="H182" s="190">
        <f t="shared" si="6"/>
        <v>2225</v>
      </c>
    </row>
    <row r="183" spans="1:8" ht="12.75" customHeight="1" x14ac:dyDescent="0.2">
      <c r="A183" s="176">
        <f t="shared" si="0"/>
        <v>7</v>
      </c>
      <c r="B183" s="176">
        <f t="shared" si="1"/>
        <v>2017</v>
      </c>
      <c r="C183" s="176" t="str">
        <f t="shared" si="2"/>
        <v/>
      </c>
      <c r="D183" s="182">
        <v>42936</v>
      </c>
      <c r="E183" s="181" t="s">
        <v>52</v>
      </c>
      <c r="F183" s="175"/>
      <c r="G183" s="175">
        <v>25</v>
      </c>
      <c r="H183" s="190">
        <f t="shared" si="6"/>
        <v>2250</v>
      </c>
    </row>
    <row r="184" spans="1:8" ht="12.75" customHeight="1" x14ac:dyDescent="0.2">
      <c r="A184" s="176">
        <f t="shared" si="0"/>
        <v>7</v>
      </c>
      <c r="B184" s="176">
        <f t="shared" si="1"/>
        <v>2017</v>
      </c>
      <c r="C184" s="176" t="str">
        <f t="shared" si="2"/>
        <v>Income: 1</v>
      </c>
      <c r="D184" s="178">
        <v>42940</v>
      </c>
      <c r="E184" s="172" t="s">
        <v>51</v>
      </c>
      <c r="F184" s="175">
        <v>2250</v>
      </c>
      <c r="G184" s="175"/>
      <c r="H184" s="190">
        <f t="shared" si="6"/>
        <v>0</v>
      </c>
    </row>
    <row r="185" spans="1:8" ht="12.75" customHeight="1" x14ac:dyDescent="0.2">
      <c r="A185" s="176">
        <f t="shared" si="0"/>
        <v>8</v>
      </c>
      <c r="B185" s="176">
        <f t="shared" si="1"/>
        <v>2017</v>
      </c>
      <c r="C185" s="176" t="str">
        <f t="shared" si="2"/>
        <v>Rent: 1</v>
      </c>
      <c r="D185" s="182" t="str">
        <f>MOD(MONTH(D184), 12)+1 &amp; "/15/" &amp; IF(MONTH(D184)&gt;12, YEAR(D184)+1, YEAR(D184))</f>
        <v>8/15/2017</v>
      </c>
      <c r="E185" s="181" t="str">
        <f>"Rent: "&amp;LOOKUP(A185-1, Months, TextMonths)&amp;" '"&amp;B185</f>
        <v>Rent: Aug '2017</v>
      </c>
      <c r="F185" s="175"/>
      <c r="G185" s="175">
        <v>2225</v>
      </c>
      <c r="H185" s="190">
        <f t="shared" si="6"/>
        <v>2225</v>
      </c>
    </row>
    <row r="186" spans="1:8" ht="12.75" customHeight="1" x14ac:dyDescent="0.2">
      <c r="A186" s="176">
        <f t="shared" si="0"/>
        <v>8</v>
      </c>
      <c r="B186" s="176">
        <f t="shared" si="1"/>
        <v>2017</v>
      </c>
      <c r="C186" s="176" t="str">
        <f t="shared" si="2"/>
        <v>Income: 1</v>
      </c>
      <c r="D186" s="178">
        <v>42968</v>
      </c>
      <c r="E186" s="172" t="s">
        <v>51</v>
      </c>
      <c r="F186" s="175">
        <v>2225</v>
      </c>
      <c r="G186" s="175"/>
      <c r="H186" s="190">
        <f t="shared" si="6"/>
        <v>0</v>
      </c>
    </row>
    <row r="187" spans="1:8" ht="12.75" customHeight="1" x14ac:dyDescent="0.2">
      <c r="A187" s="176">
        <f t="shared" si="0"/>
        <v>9</v>
      </c>
      <c r="B187" s="176">
        <f t="shared" si="1"/>
        <v>2017</v>
      </c>
      <c r="C187" s="176" t="str">
        <f t="shared" si="2"/>
        <v>Rent: 1</v>
      </c>
      <c r="D187" s="182" t="str">
        <f>MOD(MONTH(D186), 12)+1 &amp; "/15/" &amp; IF(MONTH(D186)&gt;12, YEAR(D186)+1, YEAR(D186))</f>
        <v>9/15/2017</v>
      </c>
      <c r="E187" s="181" t="str">
        <f>"Rent: "&amp;LOOKUP(A187-1, Months, TextMonths)&amp;" '"&amp;B187</f>
        <v>Rent: Sep '2017</v>
      </c>
      <c r="F187" s="175"/>
      <c r="G187" s="175">
        <v>2225</v>
      </c>
      <c r="H187" s="190">
        <f t="shared" si="6"/>
        <v>2225</v>
      </c>
    </row>
    <row r="188" spans="1:8" ht="12.75" customHeight="1" x14ac:dyDescent="0.2">
      <c r="A188" s="176">
        <f t="shared" si="0"/>
        <v>9</v>
      </c>
      <c r="B188" s="176">
        <f t="shared" si="1"/>
        <v>2017</v>
      </c>
      <c r="C188" s="176" t="str">
        <f t="shared" si="2"/>
        <v>Income: 1</v>
      </c>
      <c r="D188" s="178">
        <v>42998</v>
      </c>
      <c r="E188" s="172" t="s">
        <v>51</v>
      </c>
      <c r="F188" s="175">
        <v>2225</v>
      </c>
      <c r="G188" s="175"/>
      <c r="H188" s="190">
        <f t="shared" si="6"/>
        <v>0</v>
      </c>
    </row>
    <row r="189" spans="1:8" ht="12.75" customHeight="1" x14ac:dyDescent="0.2">
      <c r="A189" s="176">
        <f t="shared" si="0"/>
        <v>10</v>
      </c>
      <c r="B189" s="176">
        <f t="shared" si="1"/>
        <v>2017</v>
      </c>
      <c r="C189" s="176" t="str">
        <f t="shared" si="2"/>
        <v>Rent: 1</v>
      </c>
      <c r="D189" s="182" t="str">
        <f>MOD(MONTH(D188), 12)+1 &amp; "/15/" &amp; IF(MONTH(D188)&gt;12, YEAR(D188)+1, YEAR(D188))</f>
        <v>10/15/2017</v>
      </c>
      <c r="E189" s="181" t="str">
        <f>"Rent: "&amp;LOOKUP(A189-1, Months, TextMonths)&amp;" '"&amp;B189</f>
        <v>Rent: Oct '2017</v>
      </c>
      <c r="F189" s="175"/>
      <c r="G189" s="175">
        <v>2225</v>
      </c>
      <c r="H189" s="190">
        <f t="shared" si="6"/>
        <v>2225</v>
      </c>
    </row>
    <row r="190" spans="1:8" ht="12.75" customHeight="1" x14ac:dyDescent="0.2">
      <c r="A190" s="176">
        <f t="shared" si="0"/>
        <v>10</v>
      </c>
      <c r="B190" s="176">
        <f t="shared" si="1"/>
        <v>2017</v>
      </c>
      <c r="C190" s="176" t="str">
        <f t="shared" si="2"/>
        <v>Income: 1</v>
      </c>
      <c r="D190" s="178">
        <v>43028</v>
      </c>
      <c r="E190" s="172" t="s">
        <v>51</v>
      </c>
      <c r="F190" s="175">
        <v>2225</v>
      </c>
      <c r="G190" s="175"/>
      <c r="H190" s="190">
        <f t="shared" si="6"/>
        <v>0</v>
      </c>
    </row>
    <row r="191" spans="1:8" ht="12.75" customHeight="1" x14ac:dyDescent="0.2">
      <c r="A191" s="176">
        <f t="shared" si="0"/>
        <v>11</v>
      </c>
      <c r="B191" s="176">
        <f t="shared" si="1"/>
        <v>2017</v>
      </c>
      <c r="C191" s="176" t="str">
        <f t="shared" si="2"/>
        <v>Rent: 1</v>
      </c>
      <c r="D191" s="182" t="str">
        <f>MOD(MONTH(D190), 12)+1 &amp; "/15/" &amp; IF(MONTH(D190)&gt;12, YEAR(D190)+1, YEAR(D190))</f>
        <v>11/15/2017</v>
      </c>
      <c r="E191" s="181" t="str">
        <f>"Rent: "&amp;LOOKUP(A191-1, Months, TextMonths)&amp;" '"&amp;B191</f>
        <v>Rent: Nov '2017</v>
      </c>
      <c r="F191" s="175"/>
      <c r="G191" s="175">
        <v>2225</v>
      </c>
      <c r="H191" s="190">
        <f t="shared" si="6"/>
        <v>2225</v>
      </c>
    </row>
    <row r="192" spans="1:8" ht="12.75" customHeight="1" x14ac:dyDescent="0.2">
      <c r="A192" s="176">
        <f t="shared" si="0"/>
        <v>11</v>
      </c>
      <c r="B192" s="176">
        <f t="shared" si="1"/>
        <v>2017</v>
      </c>
      <c r="C192" s="176" t="str">
        <f t="shared" si="2"/>
        <v>Income: 1</v>
      </c>
      <c r="D192" s="178">
        <v>43059</v>
      </c>
      <c r="E192" s="172" t="s">
        <v>51</v>
      </c>
      <c r="F192" s="175">
        <v>2225</v>
      </c>
      <c r="G192" s="175"/>
      <c r="H192" s="190">
        <f t="shared" si="6"/>
        <v>0</v>
      </c>
    </row>
    <row r="193" spans="1:10" ht="12.75" customHeight="1" x14ac:dyDescent="0.2">
      <c r="A193" s="176">
        <f t="shared" si="0"/>
        <v>12</v>
      </c>
      <c r="B193" s="176">
        <f t="shared" si="1"/>
        <v>2017</v>
      </c>
      <c r="C193" s="176" t="str">
        <f t="shared" si="2"/>
        <v>Rent: 1</v>
      </c>
      <c r="D193" s="182" t="str">
        <f>MOD(MONTH(D192), 12)+1 &amp; "/15/" &amp; IF(MONTH(D192)&gt;12, YEAR(D192)+1, YEAR(D192))</f>
        <v>12/15/2017</v>
      </c>
      <c r="E193" s="181" t="str">
        <f>"Rent: "&amp;LOOKUP(A193-1, Months, TextMonths)&amp;" '"&amp;B193</f>
        <v>Rent: Dec '2017</v>
      </c>
      <c r="F193" s="175"/>
      <c r="G193" s="175">
        <v>2225</v>
      </c>
      <c r="H193" s="190">
        <f t="shared" si="6"/>
        <v>2225</v>
      </c>
      <c r="I193" s="181"/>
      <c r="J193" s="172"/>
    </row>
    <row r="194" spans="1:10" ht="12.75" customHeight="1" thickBot="1" x14ac:dyDescent="0.25">
      <c r="A194" s="191">
        <f t="shared" si="0"/>
        <v>12</v>
      </c>
      <c r="B194" s="191">
        <f t="shared" si="1"/>
        <v>2017</v>
      </c>
      <c r="C194" s="191" t="str">
        <f t="shared" si="2"/>
        <v>Income: 1</v>
      </c>
      <c r="D194" s="192">
        <v>43089</v>
      </c>
      <c r="E194" s="193" t="s">
        <v>51</v>
      </c>
      <c r="F194" s="194">
        <v>2225</v>
      </c>
      <c r="G194" s="194"/>
      <c r="H194" s="195">
        <f t="shared" si="6"/>
        <v>0</v>
      </c>
      <c r="I194" s="173"/>
      <c r="J194" s="173"/>
    </row>
    <row r="195" spans="1:10" ht="12.75" customHeight="1" x14ac:dyDescent="0.2">
      <c r="A195" s="176">
        <f t="shared" si="0"/>
        <v>1</v>
      </c>
      <c r="B195" s="176">
        <f t="shared" si="1"/>
        <v>2018</v>
      </c>
      <c r="C195" s="176" t="str">
        <f t="shared" si="2"/>
        <v>Rent: 1</v>
      </c>
      <c r="D195" s="182" t="str">
        <f>MOD(MONTH(D194), 12)+1 &amp; "/15/" &amp; IF(MONTH(D194)&gt;=12, YEAR(D194)+1, YEAR(D194))</f>
        <v>1/15/2018</v>
      </c>
      <c r="E195" s="181" t="str">
        <f>"Rent: "&amp;LOOKUP(A195-1, Months, TextMonths)&amp;" '"&amp;B195</f>
        <v>Rent: Jan '2018</v>
      </c>
      <c r="F195" s="175"/>
      <c r="G195" s="175">
        <v>2225</v>
      </c>
      <c r="H195" s="177">
        <f t="shared" si="6"/>
        <v>2225</v>
      </c>
    </row>
    <row r="196" spans="1:10" ht="12.75" customHeight="1" x14ac:dyDescent="0.2">
      <c r="A196" s="176">
        <f t="shared" si="0"/>
        <v>1</v>
      </c>
      <c r="B196" s="176">
        <f t="shared" si="1"/>
        <v>2018</v>
      </c>
      <c r="C196" s="176" t="str">
        <f t="shared" si="2"/>
        <v>Income: 1</v>
      </c>
      <c r="D196" s="178">
        <v>43118</v>
      </c>
      <c r="E196" s="172" t="s">
        <v>51</v>
      </c>
      <c r="F196" s="175">
        <v>2225</v>
      </c>
      <c r="G196" s="175"/>
      <c r="H196" s="177">
        <f t="shared" si="6"/>
        <v>0</v>
      </c>
      <c r="I196" s="173"/>
      <c r="J196" s="173"/>
    </row>
    <row r="197" spans="1:10" ht="12.75" customHeight="1" x14ac:dyDescent="0.2">
      <c r="A197" s="176">
        <f t="shared" si="0"/>
        <v>2</v>
      </c>
      <c r="B197" s="176">
        <f t="shared" si="1"/>
        <v>2018</v>
      </c>
      <c r="C197" s="176" t="str">
        <f t="shared" si="2"/>
        <v>Rent: 1</v>
      </c>
      <c r="D197" s="182" t="str">
        <f>MOD(MONTH(D196), 12)+1 &amp; "/15/" &amp; IF(MONTH(D196)&gt;12, YEAR(D196)+1, YEAR(D196))</f>
        <v>2/15/2018</v>
      </c>
      <c r="E197" s="181" t="str">
        <f>"Rent: "&amp;LOOKUP(A197-1, Months, TextMonths)&amp;" '"&amp;B197</f>
        <v>Rent: Feb '2018</v>
      </c>
      <c r="F197" s="175"/>
      <c r="G197" s="175">
        <v>2225</v>
      </c>
      <c r="H197" s="177">
        <f t="shared" si="6"/>
        <v>2225</v>
      </c>
    </row>
    <row r="198" spans="1:10" ht="12.75" customHeight="1" x14ac:dyDescent="0.2">
      <c r="A198" s="176">
        <f t="shared" si="0"/>
        <v>2</v>
      </c>
      <c r="B198" s="176">
        <f t="shared" si="1"/>
        <v>2018</v>
      </c>
      <c r="C198" s="176" t="str">
        <f t="shared" si="2"/>
        <v>Income: 1</v>
      </c>
      <c r="D198" s="178">
        <v>43151</v>
      </c>
      <c r="E198" s="172" t="s">
        <v>51</v>
      </c>
      <c r="F198" s="175">
        <v>2225</v>
      </c>
      <c r="G198" s="175"/>
      <c r="H198" s="177">
        <f t="shared" si="6"/>
        <v>0</v>
      </c>
      <c r="I198" s="173"/>
      <c r="J198" s="173"/>
    </row>
    <row r="199" spans="1:10" ht="12.75" customHeight="1" x14ac:dyDescent="0.2">
      <c r="A199" s="176">
        <f t="shared" si="0"/>
        <v>3</v>
      </c>
      <c r="B199" s="176">
        <f t="shared" si="1"/>
        <v>2018</v>
      </c>
      <c r="C199" s="176" t="str">
        <f t="shared" si="2"/>
        <v>Rent: 1</v>
      </c>
      <c r="D199" s="182" t="str">
        <f>MOD(MONTH(D198), 12)+1 &amp; "/15/" &amp; IF(MONTH(D198)&gt;12, YEAR(D198)+1, YEAR(D198))</f>
        <v>3/15/2018</v>
      </c>
      <c r="E199" s="181" t="str">
        <f>"Rent: "&amp;LOOKUP(A199-1, Months, TextMonths)&amp;" '"&amp;B199</f>
        <v>Rent: Mar '2018</v>
      </c>
      <c r="F199" s="175"/>
      <c r="G199" s="175">
        <v>2225</v>
      </c>
      <c r="H199" s="177">
        <f t="shared" si="6"/>
        <v>2225</v>
      </c>
    </row>
    <row r="200" spans="1:10" ht="12.75" customHeight="1" x14ac:dyDescent="0.2">
      <c r="A200" s="176">
        <f t="shared" si="0"/>
        <v>3</v>
      </c>
      <c r="B200" s="176">
        <f t="shared" si="1"/>
        <v>2018</v>
      </c>
      <c r="C200" s="176" t="str">
        <f t="shared" si="2"/>
        <v/>
      </c>
      <c r="D200" s="182">
        <v>43180</v>
      </c>
      <c r="E200" s="181" t="s">
        <v>52</v>
      </c>
      <c r="F200" s="175"/>
      <c r="G200" s="175">
        <v>25</v>
      </c>
      <c r="H200" s="190">
        <f t="shared" si="6"/>
        <v>2250</v>
      </c>
    </row>
    <row r="201" spans="1:10" ht="12.75" customHeight="1" x14ac:dyDescent="0.2">
      <c r="A201" s="176">
        <f t="shared" si="0"/>
        <v>3</v>
      </c>
      <c r="B201" s="176">
        <f t="shared" si="1"/>
        <v>2018</v>
      </c>
      <c r="C201" s="176" t="str">
        <f t="shared" si="2"/>
        <v>Income: 1</v>
      </c>
      <c r="D201" s="178">
        <v>43182</v>
      </c>
      <c r="E201" s="172" t="s">
        <v>51</v>
      </c>
      <c r="F201" s="175">
        <v>2250</v>
      </c>
      <c r="G201" s="175"/>
      <c r="H201" s="177">
        <f t="shared" si="6"/>
        <v>0</v>
      </c>
      <c r="I201" s="173"/>
      <c r="J201" s="173"/>
    </row>
    <row r="202" spans="1:10" ht="12.75" customHeight="1" x14ac:dyDescent="0.2">
      <c r="A202" s="176">
        <f t="shared" si="0"/>
        <v>4</v>
      </c>
      <c r="B202" s="176">
        <f t="shared" si="1"/>
        <v>2018</v>
      </c>
      <c r="C202" s="176" t="str">
        <f t="shared" si="2"/>
        <v>Rent: 1</v>
      </c>
      <c r="D202" s="182" t="str">
        <f>MOD(MONTH(D201), 12)+1 &amp; "/15/" &amp; IF(MONTH(D201)&gt;12, YEAR(D201)+1, YEAR(D201))</f>
        <v>4/15/2018</v>
      </c>
      <c r="E202" s="181" t="str">
        <f>"Rent: "&amp;LOOKUP(A202-1, Months, TextMonths)&amp;" '"&amp;B202</f>
        <v>Rent: Apr '2018</v>
      </c>
      <c r="F202" s="175"/>
      <c r="G202" s="175">
        <v>2225</v>
      </c>
      <c r="H202" s="177">
        <f t="shared" si="6"/>
        <v>2225</v>
      </c>
    </row>
    <row r="203" spans="1:10" ht="12.75" customHeight="1" x14ac:dyDescent="0.2">
      <c r="A203" s="176">
        <f t="shared" si="0"/>
        <v>4</v>
      </c>
      <c r="B203" s="176">
        <f t="shared" si="1"/>
        <v>2018</v>
      </c>
      <c r="C203" s="176" t="str">
        <f t="shared" si="2"/>
        <v>Income: 1</v>
      </c>
      <c r="D203" s="178">
        <v>43207</v>
      </c>
      <c r="E203" s="172" t="s">
        <v>51</v>
      </c>
      <c r="F203" s="175">
        <v>2225</v>
      </c>
      <c r="G203" s="175"/>
      <c r="H203" s="177">
        <f t="shared" si="6"/>
        <v>0</v>
      </c>
      <c r="I203" s="173"/>
      <c r="J203" s="173"/>
    </row>
    <row r="204" spans="1:10" ht="12.75" customHeight="1" x14ac:dyDescent="0.2">
      <c r="A204" s="176">
        <f t="shared" si="0"/>
        <v>5</v>
      </c>
      <c r="B204" s="176">
        <f t="shared" si="1"/>
        <v>2018</v>
      </c>
      <c r="C204" s="176" t="str">
        <f t="shared" si="2"/>
        <v>Rent: 1</v>
      </c>
      <c r="D204" s="182" t="str">
        <f>MOD(MONTH(D203), 12)+1 &amp; "/15/" &amp; IF(MONTH(D203)&gt;12, YEAR(D203)+1, YEAR(D203))</f>
        <v>5/15/2018</v>
      </c>
      <c r="E204" s="181" t="str">
        <f>"Rent: "&amp;LOOKUP(A204-1, Months, TextMonths)&amp;" '"&amp;B204</f>
        <v>Rent: May '2018</v>
      </c>
      <c r="F204" s="175"/>
      <c r="G204" s="175">
        <v>2225</v>
      </c>
      <c r="H204" s="177">
        <f t="shared" si="6"/>
        <v>2225</v>
      </c>
    </row>
    <row r="205" spans="1:10" ht="12.75" customHeight="1" x14ac:dyDescent="0.2">
      <c r="A205" s="176">
        <f t="shared" si="0"/>
        <v>5</v>
      </c>
      <c r="B205" s="176">
        <f t="shared" si="1"/>
        <v>2018</v>
      </c>
      <c r="C205" s="176" t="str">
        <f t="shared" si="2"/>
        <v>Income: 1</v>
      </c>
      <c r="D205" s="178">
        <v>43245</v>
      </c>
      <c r="E205" s="172" t="s">
        <v>51</v>
      </c>
      <c r="F205" s="175">
        <v>2250</v>
      </c>
      <c r="G205" s="175"/>
      <c r="H205" s="177">
        <f t="shared" si="6"/>
        <v>-25</v>
      </c>
      <c r="I205" s="173"/>
      <c r="J205" s="173"/>
    </row>
    <row r="206" spans="1:10" ht="12.75" customHeight="1" x14ac:dyDescent="0.2">
      <c r="A206" s="176">
        <f t="shared" si="0"/>
        <v>5</v>
      </c>
      <c r="B206" s="176">
        <f t="shared" si="1"/>
        <v>2018</v>
      </c>
      <c r="C206" s="176" t="str">
        <f t="shared" si="2"/>
        <v/>
      </c>
      <c r="D206" s="182">
        <v>43240</v>
      </c>
      <c r="E206" s="181" t="s">
        <v>52</v>
      </c>
      <c r="F206" s="175"/>
      <c r="G206" s="175">
        <v>25</v>
      </c>
      <c r="H206" s="190">
        <f t="shared" si="6"/>
        <v>0</v>
      </c>
    </row>
    <row r="207" spans="1:10" ht="12.75" customHeight="1" x14ac:dyDescent="0.2">
      <c r="A207" s="176">
        <f t="shared" si="0"/>
        <v>6</v>
      </c>
      <c r="B207" s="176">
        <f t="shared" si="1"/>
        <v>2018</v>
      </c>
      <c r="C207" s="176" t="str">
        <f t="shared" si="2"/>
        <v>Rent: 1</v>
      </c>
      <c r="D207" s="182" t="str">
        <f>MOD(MONTH(D206), 12)+1 &amp; "/15/" &amp; IF(MONTH(D206)&gt;12, YEAR(D206)+1, YEAR(D206))</f>
        <v>6/15/2018</v>
      </c>
      <c r="E207" s="181" t="str">
        <f>"Rent: "&amp;LOOKUP(A207-1, Months, TextMonths)&amp;" '"&amp;B207</f>
        <v>Rent: Jun '2018</v>
      </c>
      <c r="F207" s="175"/>
      <c r="G207" s="175">
        <v>2225</v>
      </c>
      <c r="H207" s="177">
        <f t="shared" si="6"/>
        <v>2225</v>
      </c>
    </row>
    <row r="208" spans="1:10" ht="12.75" customHeight="1" x14ac:dyDescent="0.2">
      <c r="A208" s="176">
        <f t="shared" si="0"/>
        <v>6</v>
      </c>
      <c r="B208" s="176">
        <f t="shared" si="1"/>
        <v>2018</v>
      </c>
      <c r="C208" s="176" t="str">
        <f t="shared" si="2"/>
        <v>Income: 1</v>
      </c>
      <c r="D208" s="178">
        <v>43270</v>
      </c>
      <c r="E208" s="172" t="s">
        <v>51</v>
      </c>
      <c r="F208" s="175">
        <v>2225</v>
      </c>
      <c r="G208" s="175"/>
      <c r="H208" s="177">
        <f t="shared" si="6"/>
        <v>0</v>
      </c>
      <c r="I208" s="173"/>
      <c r="J208" s="173"/>
    </row>
    <row r="209" spans="1:13" ht="12.75" customHeight="1" x14ac:dyDescent="0.2">
      <c r="A209" s="176">
        <f t="shared" si="0"/>
        <v>7</v>
      </c>
      <c r="B209" s="176">
        <f t="shared" si="1"/>
        <v>2018</v>
      </c>
      <c r="C209" s="176" t="str">
        <f t="shared" si="2"/>
        <v>Rent: 1</v>
      </c>
      <c r="D209" s="182" t="str">
        <f>MOD(MONTH(D208), 12)+1 &amp; "/15/" &amp; IF(MONTH(D208)&gt;12, YEAR(D208)+1, YEAR(D208))</f>
        <v>7/15/2018</v>
      </c>
      <c r="E209" s="181" t="str">
        <f>"Rent: "&amp;LOOKUP(A209-1, Months, TextMonths)&amp;" '"&amp;B209</f>
        <v>Rent: Jul '2018</v>
      </c>
      <c r="F209" s="175"/>
      <c r="G209" s="175">
        <v>2225</v>
      </c>
      <c r="H209" s="177">
        <f t="shared" si="6"/>
        <v>2225</v>
      </c>
    </row>
    <row r="210" spans="1:13" ht="12.75" customHeight="1" x14ac:dyDescent="0.2">
      <c r="A210" s="176">
        <f t="shared" si="0"/>
        <v>7</v>
      </c>
      <c r="B210" s="176">
        <f t="shared" si="1"/>
        <v>2018</v>
      </c>
      <c r="C210" s="176" t="str">
        <f t="shared" si="2"/>
        <v>Income: 1</v>
      </c>
      <c r="D210" s="178">
        <v>43301</v>
      </c>
      <c r="E210" s="172" t="s">
        <v>51</v>
      </c>
      <c r="F210" s="175">
        <v>2225</v>
      </c>
      <c r="G210" s="175"/>
      <c r="H210" s="177">
        <f t="shared" si="6"/>
        <v>0</v>
      </c>
      <c r="I210" s="173"/>
      <c r="J210" s="173"/>
    </row>
    <row r="211" spans="1:13" ht="12.75" customHeight="1" x14ac:dyDescent="0.2">
      <c r="A211" s="176">
        <f t="shared" si="0"/>
        <v>8</v>
      </c>
      <c r="B211" s="176">
        <f t="shared" si="1"/>
        <v>2018</v>
      </c>
      <c r="C211" s="176" t="str">
        <f t="shared" si="2"/>
        <v>Rent: 1</v>
      </c>
      <c r="D211" s="182" t="str">
        <f>MOD(MONTH(D210), 12)+1 &amp; "/15/" &amp; IF(MONTH(D210)&gt;12, YEAR(D210)+1, YEAR(D210))</f>
        <v>8/15/2018</v>
      </c>
      <c r="E211" s="181" t="str">
        <f>"Rent: "&amp;LOOKUP(A211-1, Months, TextMonths)&amp;" '"&amp;B211</f>
        <v>Rent: Aug '2018</v>
      </c>
      <c r="F211" s="175"/>
      <c r="G211" s="175">
        <v>2225</v>
      </c>
      <c r="H211" s="177">
        <f t="shared" si="6"/>
        <v>2225</v>
      </c>
    </row>
    <row r="212" spans="1:13" ht="12.75" customHeight="1" x14ac:dyDescent="0.2">
      <c r="A212" s="176">
        <f t="shared" si="0"/>
        <v>8</v>
      </c>
      <c r="B212" s="176">
        <f t="shared" si="1"/>
        <v>2018</v>
      </c>
      <c r="C212" s="176" t="str">
        <f t="shared" si="2"/>
        <v>Income: 1</v>
      </c>
      <c r="D212" s="178">
        <v>43332</v>
      </c>
      <c r="E212" s="172" t="s">
        <v>51</v>
      </c>
      <c r="F212" s="175">
        <v>2225</v>
      </c>
      <c r="G212" s="175"/>
      <c r="H212" s="177">
        <f t="shared" si="6"/>
        <v>0</v>
      </c>
      <c r="I212" s="173"/>
      <c r="J212" s="173"/>
    </row>
    <row r="213" spans="1:13" ht="12.75" customHeight="1" x14ac:dyDescent="0.2">
      <c r="A213" s="176">
        <f t="shared" si="0"/>
        <v>9</v>
      </c>
      <c r="B213" s="176">
        <f t="shared" si="1"/>
        <v>2018</v>
      </c>
      <c r="C213" s="176" t="str">
        <f t="shared" si="2"/>
        <v>Rent: 1</v>
      </c>
      <c r="D213" s="182" t="str">
        <f>MOD(MONTH(D212), 12)+1 &amp; "/15/" &amp; IF(MONTH(D212)&gt;12, YEAR(D212)+1, YEAR(D212))</f>
        <v>9/15/2018</v>
      </c>
      <c r="E213" s="181" t="str">
        <f>"Rent: "&amp;LOOKUP(A213-1, Months, TextMonths)&amp;" '"&amp;B213</f>
        <v>Rent: Sep '2018</v>
      </c>
      <c r="F213" s="175"/>
      <c r="G213" s="175">
        <v>2225</v>
      </c>
      <c r="H213" s="177">
        <f t="shared" si="6"/>
        <v>2225</v>
      </c>
    </row>
    <row r="214" spans="1:13" ht="12.75" customHeight="1" x14ac:dyDescent="0.2">
      <c r="A214" s="176">
        <f t="shared" si="0"/>
        <v>9</v>
      </c>
      <c r="B214" s="176">
        <f t="shared" si="1"/>
        <v>2018</v>
      </c>
      <c r="C214" s="176" t="str">
        <f t="shared" si="2"/>
        <v>Income: 1</v>
      </c>
      <c r="D214" s="178">
        <v>43363</v>
      </c>
      <c r="E214" s="172" t="s">
        <v>51</v>
      </c>
      <c r="F214" s="175">
        <v>2225</v>
      </c>
      <c r="G214" s="175"/>
      <c r="H214" s="177">
        <f t="shared" si="6"/>
        <v>0</v>
      </c>
      <c r="I214" s="173"/>
      <c r="J214" s="173"/>
    </row>
    <row r="215" spans="1:13" ht="12.75" customHeight="1" x14ac:dyDescent="0.2">
      <c r="A215" s="176">
        <f t="shared" si="0"/>
        <v>10</v>
      </c>
      <c r="B215" s="176">
        <f t="shared" si="1"/>
        <v>2018</v>
      </c>
      <c r="C215" s="176" t="str">
        <f t="shared" si="2"/>
        <v>Rent: 1</v>
      </c>
      <c r="D215" s="182" t="str">
        <f>MOD(MONTH(D214), 12)+1 &amp; "/15/" &amp; IF(MONTH(D214)&gt;12, YEAR(D214)+1, YEAR(D214))</f>
        <v>10/15/2018</v>
      </c>
      <c r="E215" s="181" t="str">
        <f>"Rent: "&amp;LOOKUP(A215-1, Months, TextMonths)&amp;" '"&amp;B215</f>
        <v>Rent: Oct '2018</v>
      </c>
      <c r="F215" s="175"/>
      <c r="G215" s="175">
        <v>2225</v>
      </c>
      <c r="H215" s="177">
        <f t="shared" si="6"/>
        <v>2225</v>
      </c>
    </row>
    <row r="216" spans="1:13" ht="12.75" customHeight="1" x14ac:dyDescent="0.2">
      <c r="A216" s="176">
        <f t="shared" si="0"/>
        <v>10</v>
      </c>
      <c r="B216" s="176">
        <f t="shared" si="1"/>
        <v>2018</v>
      </c>
      <c r="C216" s="176" t="str">
        <f t="shared" si="2"/>
        <v>Income: 1</v>
      </c>
      <c r="D216" s="178">
        <v>43395</v>
      </c>
      <c r="E216" s="172" t="s">
        <v>51</v>
      </c>
      <c r="F216" s="175">
        <v>2225</v>
      </c>
      <c r="G216" s="175"/>
      <c r="H216" s="177">
        <f t="shared" si="6"/>
        <v>0</v>
      </c>
      <c r="I216" s="173"/>
      <c r="J216" s="173"/>
    </row>
    <row r="217" spans="1:13" ht="12.75" customHeight="1" x14ac:dyDescent="0.2">
      <c r="A217" s="176">
        <f t="shared" si="0"/>
        <v>11</v>
      </c>
      <c r="B217" s="176">
        <f t="shared" si="1"/>
        <v>2018</v>
      </c>
      <c r="C217" s="176" t="str">
        <f t="shared" si="2"/>
        <v>Rent: 1</v>
      </c>
      <c r="D217" s="182" t="str">
        <f>MOD(MONTH(D216), 12)+1 &amp; "/15/" &amp; IF(MONTH(D216)&gt;12, YEAR(D216)+1, YEAR(D216))</f>
        <v>11/15/2018</v>
      </c>
      <c r="E217" s="181" t="str">
        <f>"Rent: "&amp;LOOKUP(A217-1, Months, TextMonths)&amp;" '"&amp;B217</f>
        <v>Rent: Nov '2018</v>
      </c>
      <c r="F217" s="175"/>
      <c r="G217" s="175">
        <v>2225</v>
      </c>
      <c r="H217" s="177">
        <f t="shared" si="6"/>
        <v>2225</v>
      </c>
      <c r="I217" s="173"/>
      <c r="J217" s="172"/>
    </row>
    <row r="218" spans="1:13" ht="12.75" customHeight="1" x14ac:dyDescent="0.2">
      <c r="A218" s="176">
        <f t="shared" si="0"/>
        <v>11</v>
      </c>
      <c r="B218" s="176">
        <f t="shared" si="1"/>
        <v>2018</v>
      </c>
      <c r="C218" s="176" t="str">
        <f t="shared" si="2"/>
        <v>Income: 1</v>
      </c>
      <c r="D218" s="178">
        <v>43424</v>
      </c>
      <c r="E218" s="172" t="s">
        <v>51</v>
      </c>
      <c r="F218" s="175">
        <v>2225</v>
      </c>
      <c r="G218" s="175"/>
      <c r="H218" s="177">
        <f t="shared" si="6"/>
        <v>0</v>
      </c>
      <c r="I218" s="173"/>
      <c r="J218" s="173"/>
      <c r="K218" s="172"/>
    </row>
    <row r="219" spans="1:13" ht="12.75" customHeight="1" x14ac:dyDescent="0.2">
      <c r="A219" s="176">
        <f t="shared" si="0"/>
        <v>12</v>
      </c>
      <c r="B219" s="176">
        <f t="shared" si="1"/>
        <v>2018</v>
      </c>
      <c r="C219" s="176" t="str">
        <f t="shared" si="2"/>
        <v>Rent: 1</v>
      </c>
      <c r="D219" s="182" t="str">
        <f>MOD(MONTH(D218), 12)+1 &amp; "/15/" &amp; IF(MONTH(D218)&gt;12, YEAR(D218)+1, YEAR(D218))</f>
        <v>12/15/2018</v>
      </c>
      <c r="E219" s="181" t="str">
        <f>"Rent: "&amp;LOOKUP(A219-1, Months, TextMonths)&amp;" '"&amp;B219</f>
        <v>Rent: Dec '2018</v>
      </c>
      <c r="F219" s="175"/>
      <c r="G219" s="175">
        <v>2225</v>
      </c>
      <c r="H219" s="177">
        <f t="shared" si="6"/>
        <v>2225</v>
      </c>
      <c r="I219" s="173"/>
    </row>
    <row r="220" spans="1:13" ht="12.75" customHeight="1" x14ac:dyDescent="0.2">
      <c r="A220" s="176">
        <f t="shared" si="0"/>
        <v>12</v>
      </c>
      <c r="B220" s="176">
        <f t="shared" si="1"/>
        <v>2018</v>
      </c>
      <c r="C220" s="176" t="str">
        <f t="shared" si="2"/>
        <v>Income: 1</v>
      </c>
      <c r="D220" s="178">
        <v>43454</v>
      </c>
      <c r="E220" s="172" t="s">
        <v>51</v>
      </c>
      <c r="F220" s="175">
        <v>2225</v>
      </c>
      <c r="G220" s="175"/>
      <c r="H220" s="177">
        <f t="shared" si="6"/>
        <v>0</v>
      </c>
      <c r="I220" s="173"/>
      <c r="J220" s="173"/>
    </row>
    <row r="221" spans="1:13" ht="12.75" customHeight="1" x14ac:dyDescent="0.2">
      <c r="A221" s="176">
        <f t="shared" si="0"/>
        <v>1</v>
      </c>
      <c r="B221" s="176">
        <f t="shared" si="1"/>
        <v>2019</v>
      </c>
      <c r="C221" s="176" t="str">
        <f t="shared" si="2"/>
        <v>Rent: 1</v>
      </c>
      <c r="D221" s="182" t="str">
        <f>MOD(MONTH(D220), 12)+1 &amp; "/15/" &amp; IF(MONTH(D220)&gt;12, YEAR(D220)+1, YEAR(D220)+1)</f>
        <v>1/15/2019</v>
      </c>
      <c r="E221" s="181" t="str">
        <f>"Rent: "&amp;LOOKUP(A221-1, Months, TextMonths)&amp;" '"&amp;B221</f>
        <v>Rent: Jan '2019</v>
      </c>
      <c r="F221" s="175"/>
      <c r="G221" s="175">
        <v>2225</v>
      </c>
      <c r="H221" s="177">
        <f t="shared" si="6"/>
        <v>2225</v>
      </c>
    </row>
    <row r="222" spans="1:13" ht="12.75" customHeight="1" x14ac:dyDescent="0.2">
      <c r="A222" s="176">
        <f t="shared" si="0"/>
        <v>1</v>
      </c>
      <c r="B222" s="176">
        <f t="shared" si="1"/>
        <v>2019</v>
      </c>
      <c r="C222" s="176" t="str">
        <f t="shared" si="2"/>
        <v>Income: 1</v>
      </c>
      <c r="D222" s="178">
        <v>43488</v>
      </c>
      <c r="E222" s="172" t="s">
        <v>51</v>
      </c>
      <c r="F222" s="175">
        <v>2250</v>
      </c>
      <c r="G222" s="175"/>
      <c r="H222" s="177">
        <f t="shared" si="6"/>
        <v>-25</v>
      </c>
      <c r="I222" s="173"/>
      <c r="J222" s="173"/>
    </row>
    <row r="223" spans="1:13" ht="12.75" customHeight="1" x14ac:dyDescent="0.2">
      <c r="A223" s="176">
        <f t="shared" si="0"/>
        <v>1</v>
      </c>
      <c r="B223" s="176">
        <f t="shared" si="1"/>
        <v>2019</v>
      </c>
      <c r="C223" s="176" t="str">
        <f t="shared" si="2"/>
        <v/>
      </c>
      <c r="D223" s="182" t="str">
        <f>MOD(MONTH(D222), 12) &amp; "/20/" &amp; IF(MONTH(D222)&gt;12, YEAR(D222)+1, YEAR(D222))</f>
        <v>1/20/2019</v>
      </c>
      <c r="E223" s="181" t="s">
        <v>52</v>
      </c>
      <c r="F223" s="175"/>
      <c r="G223" s="175">
        <v>25</v>
      </c>
      <c r="H223" s="190">
        <f t="shared" si="6"/>
        <v>0</v>
      </c>
      <c r="I223" s="172"/>
      <c r="J223" s="172"/>
      <c r="K223" s="172"/>
      <c r="L223" s="196"/>
      <c r="M223" s="196"/>
    </row>
    <row r="224" spans="1:13" ht="12.75" customHeight="1" x14ac:dyDescent="0.2">
      <c r="A224" s="176">
        <f t="shared" si="0"/>
        <v>2</v>
      </c>
      <c r="B224" s="176">
        <f t="shared" si="1"/>
        <v>2019</v>
      </c>
      <c r="C224" s="176" t="str">
        <f t="shared" si="2"/>
        <v>Rent: 1</v>
      </c>
      <c r="D224" s="182" t="str">
        <f>MOD(MONTH(D223), 12)+1 &amp; "/15/" &amp; IF(MONTH(D223)&gt;12, YEAR(D223)+1, YEAR(D223))</f>
        <v>2/15/2019</v>
      </c>
      <c r="E224" s="181" t="str">
        <f>"Rent: "&amp;LOOKUP(A224-1, Months, TextMonths)&amp;" '"&amp;B224</f>
        <v>Rent: Feb '2019</v>
      </c>
      <c r="F224" s="175"/>
      <c r="G224" s="175">
        <v>2225</v>
      </c>
      <c r="H224" s="177">
        <f t="shared" si="6"/>
        <v>2225</v>
      </c>
      <c r="I224" s="172"/>
      <c r="J224" s="172"/>
      <c r="K224" s="172"/>
      <c r="L224" s="172"/>
      <c r="M224" s="172"/>
    </row>
    <row r="225" spans="1:12" ht="12.75" customHeight="1" x14ac:dyDescent="0.2">
      <c r="A225" s="176">
        <f t="shared" si="0"/>
        <v>2</v>
      </c>
      <c r="B225" s="176">
        <f t="shared" si="1"/>
        <v>2019</v>
      </c>
      <c r="C225" s="176" t="str">
        <f t="shared" si="2"/>
        <v>Income: 1</v>
      </c>
      <c r="D225" s="178">
        <v>43516</v>
      </c>
      <c r="E225" s="172" t="s">
        <v>51</v>
      </c>
      <c r="F225" s="175">
        <v>2225</v>
      </c>
      <c r="G225" s="175"/>
      <c r="H225" s="177">
        <f t="shared" si="6"/>
        <v>0</v>
      </c>
      <c r="I225" s="172"/>
      <c r="J225" s="172"/>
    </row>
    <row r="226" spans="1:12" ht="12.75" customHeight="1" x14ac:dyDescent="0.2">
      <c r="A226" s="176">
        <f t="shared" si="0"/>
        <v>3</v>
      </c>
      <c r="B226" s="176">
        <f t="shared" si="1"/>
        <v>2019</v>
      </c>
      <c r="C226" s="176" t="str">
        <f t="shared" si="2"/>
        <v>Rent: 1</v>
      </c>
      <c r="D226" s="182" t="str">
        <f>MOD(MONTH(D225), 12)+1 &amp; "/15/" &amp; IF(MONTH(D225)&gt;12, YEAR(D225)+1, YEAR(D225))</f>
        <v>3/15/2019</v>
      </c>
      <c r="E226" s="181" t="str">
        <f>"Rent: "&amp;LOOKUP(A226-1, Months, TextMonths)&amp;" '"&amp;B226</f>
        <v>Rent: Mar '2019</v>
      </c>
      <c r="F226" s="175"/>
      <c r="G226" s="175">
        <v>2425</v>
      </c>
      <c r="H226" s="177">
        <f t="shared" si="6"/>
        <v>2425</v>
      </c>
      <c r="I226" s="172"/>
      <c r="J226" s="172"/>
    </row>
    <row r="227" spans="1:12" ht="12.75" customHeight="1" x14ac:dyDescent="0.2">
      <c r="A227" s="176">
        <f t="shared" si="0"/>
        <v>3</v>
      </c>
      <c r="B227" s="176">
        <f t="shared" si="1"/>
        <v>2019</v>
      </c>
      <c r="C227" s="176" t="str">
        <f t="shared" si="2"/>
        <v>Income: 1</v>
      </c>
      <c r="D227" s="178">
        <v>43544</v>
      </c>
      <c r="E227" s="172" t="s">
        <v>51</v>
      </c>
      <c r="F227" s="175">
        <v>2425</v>
      </c>
      <c r="G227" s="175"/>
      <c r="H227" s="177">
        <f t="shared" si="6"/>
        <v>0</v>
      </c>
      <c r="I227" s="172"/>
      <c r="J227" s="172"/>
    </row>
    <row r="228" spans="1:12" ht="12.75" customHeight="1" x14ac:dyDescent="0.2">
      <c r="A228" s="176">
        <f t="shared" si="0"/>
        <v>4</v>
      </c>
      <c r="B228" s="176">
        <f t="shared" si="1"/>
        <v>2019</v>
      </c>
      <c r="C228" s="176" t="str">
        <f t="shared" si="2"/>
        <v>Rent: 1</v>
      </c>
      <c r="D228" s="182" t="str">
        <f>MOD(MONTH(D227), 12)+1 &amp; "/15/" &amp; IF(MONTH(D227)&gt;12, YEAR(D227)+1, YEAR(D227))</f>
        <v>4/15/2019</v>
      </c>
      <c r="E228" s="181" t="str">
        <f>"Rent: "&amp;LOOKUP(A228-1, Months, TextMonths)&amp;" '"&amp;B228</f>
        <v>Rent: Apr '2019</v>
      </c>
      <c r="F228" s="175"/>
      <c r="G228" s="175">
        <v>2425</v>
      </c>
      <c r="H228" s="177">
        <f t="shared" si="6"/>
        <v>2425</v>
      </c>
      <c r="I228" s="172"/>
      <c r="J228" s="172"/>
    </row>
    <row r="229" spans="1:12" ht="12.75" customHeight="1" x14ac:dyDescent="0.2">
      <c r="A229" s="176">
        <f t="shared" si="0"/>
        <v>4</v>
      </c>
      <c r="B229" s="176">
        <f t="shared" si="1"/>
        <v>2019</v>
      </c>
      <c r="C229" s="176" t="str">
        <f t="shared" si="2"/>
        <v>Income: 1</v>
      </c>
      <c r="D229" s="178">
        <v>43578</v>
      </c>
      <c r="E229" s="172" t="s">
        <v>51</v>
      </c>
      <c r="F229" s="175">
        <v>2425</v>
      </c>
      <c r="G229" s="175"/>
      <c r="H229" s="177">
        <f t="shared" si="6"/>
        <v>0</v>
      </c>
      <c r="I229" s="197"/>
      <c r="J229" s="197"/>
      <c r="K229" s="197"/>
      <c r="L229" s="197"/>
    </row>
    <row r="230" spans="1:12" ht="12.75" customHeight="1" x14ac:dyDescent="0.2">
      <c r="A230" s="176">
        <f t="shared" si="0"/>
        <v>5</v>
      </c>
      <c r="B230" s="176">
        <f t="shared" si="1"/>
        <v>2019</v>
      </c>
      <c r="C230" s="176" t="str">
        <f t="shared" si="2"/>
        <v>Rent: 1</v>
      </c>
      <c r="D230" s="182" t="str">
        <f>MOD(MONTH(D229), 12)+1 &amp; "/15/" &amp; IF(MONTH(D229)&gt;12, YEAR(D229)+1, YEAR(D229))</f>
        <v>5/15/2019</v>
      </c>
      <c r="E230" s="181" t="str">
        <f>"Rent: "&amp;LOOKUP(A230-1, Months, TextMonths)&amp;" '"&amp;B230</f>
        <v>Rent: May '2019</v>
      </c>
      <c r="F230" s="175"/>
      <c r="G230" s="175">
        <v>2425</v>
      </c>
      <c r="H230" s="177">
        <f t="shared" si="6"/>
        <v>2425</v>
      </c>
    </row>
    <row r="231" spans="1:12" ht="12.75" customHeight="1" x14ac:dyDescent="0.2">
      <c r="A231" s="176">
        <f t="shared" si="0"/>
        <v>5</v>
      </c>
      <c r="B231" s="176">
        <f t="shared" si="1"/>
        <v>2019</v>
      </c>
      <c r="C231" s="176" t="str">
        <f t="shared" si="2"/>
        <v>Income: 1</v>
      </c>
      <c r="D231" s="178">
        <v>43605</v>
      </c>
      <c r="E231" s="172" t="s">
        <v>51</v>
      </c>
      <c r="F231" s="175">
        <v>2425</v>
      </c>
      <c r="G231" s="175"/>
      <c r="H231" s="177">
        <f t="shared" si="6"/>
        <v>0</v>
      </c>
    </row>
    <row r="232" spans="1:12" ht="12.75" customHeight="1" x14ac:dyDescent="0.2">
      <c r="A232" s="176">
        <f t="shared" si="0"/>
        <v>6</v>
      </c>
      <c r="B232" s="176">
        <f t="shared" si="1"/>
        <v>2019</v>
      </c>
      <c r="C232" s="176" t="str">
        <f t="shared" si="2"/>
        <v>Rent: 1</v>
      </c>
      <c r="D232" s="182" t="str">
        <f>MOD(MONTH(D231), 12)+1 &amp; "/15/" &amp; IF(MONTH(D231)&gt;12, YEAR(D231)+1, YEAR(D231))</f>
        <v>6/15/2019</v>
      </c>
      <c r="E232" s="181" t="str">
        <f>"Rent: "&amp;LOOKUP(A232-1, Months, TextMonths)&amp;" '"&amp;B232</f>
        <v>Rent: Jun '2019</v>
      </c>
      <c r="F232" s="175"/>
      <c r="G232" s="175">
        <v>2425</v>
      </c>
      <c r="H232" s="177">
        <f t="shared" si="6"/>
        <v>2425</v>
      </c>
    </row>
    <row r="233" spans="1:12" ht="12.75" customHeight="1" x14ac:dyDescent="0.2">
      <c r="A233" s="176">
        <f t="shared" si="0"/>
        <v>6</v>
      </c>
      <c r="B233" s="176">
        <f t="shared" si="1"/>
        <v>2019</v>
      </c>
      <c r="C233" s="176" t="str">
        <f t="shared" si="2"/>
        <v>Income: 1</v>
      </c>
      <c r="D233" s="178">
        <v>43636</v>
      </c>
      <c r="E233" s="172" t="s">
        <v>51</v>
      </c>
      <c r="F233" s="175">
        <v>2425</v>
      </c>
      <c r="G233" s="175"/>
      <c r="H233" s="177">
        <f t="shared" si="6"/>
        <v>0</v>
      </c>
    </row>
    <row r="234" spans="1:12" ht="12.75" customHeight="1" x14ac:dyDescent="0.2">
      <c r="A234" s="176">
        <f t="shared" si="0"/>
        <v>7</v>
      </c>
      <c r="B234" s="176">
        <f t="shared" si="1"/>
        <v>2019</v>
      </c>
      <c r="C234" s="176" t="str">
        <f t="shared" si="2"/>
        <v>Rent: 1</v>
      </c>
      <c r="D234" s="182" t="str">
        <f>MOD(MONTH(D233), 12)+1 &amp; "/15/" &amp; IF(MONTH(D233)&gt;12, YEAR(D233)+1, YEAR(D233))</f>
        <v>7/15/2019</v>
      </c>
      <c r="E234" s="181" t="str">
        <f>"Rent: "&amp;LOOKUP(A234-1, Months, TextMonths)&amp;" '"&amp;B234</f>
        <v>Rent: Jul '2019</v>
      </c>
      <c r="F234" s="175"/>
      <c r="G234" s="175">
        <v>2425</v>
      </c>
      <c r="H234" s="177">
        <f t="shared" ref="H234:H297" si="7">H233+G234-F234</f>
        <v>2425</v>
      </c>
    </row>
    <row r="235" spans="1:12" ht="12.75" customHeight="1" x14ac:dyDescent="0.2">
      <c r="A235" s="176">
        <f t="shared" si="0"/>
        <v>7</v>
      </c>
      <c r="B235" s="176">
        <f t="shared" si="1"/>
        <v>2019</v>
      </c>
      <c r="C235" s="176" t="str">
        <f t="shared" si="2"/>
        <v>Income: 1</v>
      </c>
      <c r="D235" s="178">
        <v>43668</v>
      </c>
      <c r="E235" s="172" t="s">
        <v>51</v>
      </c>
      <c r="F235" s="175">
        <v>2425</v>
      </c>
      <c r="G235" s="175"/>
      <c r="H235" s="177">
        <f t="shared" si="7"/>
        <v>0</v>
      </c>
    </row>
    <row r="236" spans="1:12" ht="12.75" customHeight="1" x14ac:dyDescent="0.2">
      <c r="A236" s="176">
        <f t="shared" si="0"/>
        <v>8</v>
      </c>
      <c r="B236" s="176">
        <f t="shared" si="1"/>
        <v>2019</v>
      </c>
      <c r="C236" s="176" t="str">
        <f t="shared" si="2"/>
        <v>Rent: 1</v>
      </c>
      <c r="D236" s="182" t="str">
        <f>MOD(MONTH(D235), 12)+1 &amp; "/15/" &amp; IF(MONTH(D235)&gt;12, YEAR(D235)+1, YEAR(D235))</f>
        <v>8/15/2019</v>
      </c>
      <c r="E236" s="181" t="str">
        <f>"Rent: "&amp;LOOKUP(A236-1, Months, TextMonths)&amp;" '"&amp;B236</f>
        <v>Rent: Aug '2019</v>
      </c>
      <c r="F236" s="175"/>
      <c r="G236" s="175">
        <v>2425</v>
      </c>
      <c r="H236" s="177">
        <f t="shared" si="7"/>
        <v>2425</v>
      </c>
    </row>
    <row r="237" spans="1:12" ht="12.75" customHeight="1" x14ac:dyDescent="0.2">
      <c r="A237" s="176">
        <f t="shared" si="0"/>
        <v>8</v>
      </c>
      <c r="B237" s="176">
        <f t="shared" si="1"/>
        <v>2019</v>
      </c>
      <c r="C237" s="176" t="str">
        <f t="shared" si="2"/>
        <v/>
      </c>
      <c r="D237" s="178">
        <v>43697</v>
      </c>
      <c r="E237" s="172" t="s">
        <v>52</v>
      </c>
      <c r="F237" s="175"/>
      <c r="G237" s="175">
        <v>25</v>
      </c>
      <c r="H237" s="177">
        <f t="shared" si="7"/>
        <v>2450</v>
      </c>
    </row>
    <row r="238" spans="1:12" ht="12.75" customHeight="1" x14ac:dyDescent="0.2">
      <c r="A238" s="176">
        <f t="shared" si="0"/>
        <v>8</v>
      </c>
      <c r="B238" s="176">
        <f t="shared" si="1"/>
        <v>2019</v>
      </c>
      <c r="C238" s="176" t="str">
        <f t="shared" si="2"/>
        <v>Income: 1</v>
      </c>
      <c r="D238" s="178">
        <v>43697</v>
      </c>
      <c r="E238" s="172" t="s">
        <v>51</v>
      </c>
      <c r="F238" s="175">
        <v>2450</v>
      </c>
      <c r="G238" s="175"/>
      <c r="H238" s="177">
        <f t="shared" si="7"/>
        <v>0</v>
      </c>
    </row>
    <row r="239" spans="1:12" ht="12.75" customHeight="1" x14ac:dyDescent="0.2">
      <c r="A239" s="176">
        <f t="shared" si="0"/>
        <v>9</v>
      </c>
      <c r="B239" s="176">
        <f t="shared" si="1"/>
        <v>2019</v>
      </c>
      <c r="C239" s="176" t="str">
        <f t="shared" si="2"/>
        <v>Rent: 1</v>
      </c>
      <c r="D239" s="182" t="str">
        <f>MOD(MONTH(D238), 12)+1 &amp; "/15/" &amp; IF(MONTH(D238)&gt;12, YEAR(D238)+1, YEAR(D238))</f>
        <v>9/15/2019</v>
      </c>
      <c r="E239" s="181" t="str">
        <f>"Rent: "&amp;LOOKUP(A239-1, Months, TextMonths)&amp;" '"&amp;B239</f>
        <v>Rent: Sep '2019</v>
      </c>
      <c r="F239" s="175"/>
      <c r="G239" s="175">
        <v>2425</v>
      </c>
      <c r="H239" s="177">
        <f t="shared" si="7"/>
        <v>2425</v>
      </c>
    </row>
    <row r="240" spans="1:12" ht="12.75" customHeight="1" x14ac:dyDescent="0.2">
      <c r="A240" s="176">
        <f t="shared" si="0"/>
        <v>9</v>
      </c>
      <c r="B240" s="176">
        <f t="shared" si="1"/>
        <v>2019</v>
      </c>
      <c r="C240" s="176" t="str">
        <f t="shared" si="2"/>
        <v>Income: 1</v>
      </c>
      <c r="D240" s="178">
        <v>43724</v>
      </c>
      <c r="E240" s="172" t="s">
        <v>51</v>
      </c>
      <c r="F240" s="175">
        <v>2425</v>
      </c>
      <c r="G240" s="175"/>
      <c r="H240" s="177">
        <f t="shared" si="7"/>
        <v>0</v>
      </c>
    </row>
    <row r="241" spans="1:10" ht="12.75" customHeight="1" x14ac:dyDescent="0.2">
      <c r="A241" s="176">
        <f t="shared" si="0"/>
        <v>10</v>
      </c>
      <c r="B241" s="176">
        <f t="shared" si="1"/>
        <v>2019</v>
      </c>
      <c r="C241" s="176" t="str">
        <f t="shared" si="2"/>
        <v>Rent: 1</v>
      </c>
      <c r="D241" s="182" t="str">
        <f>MOD(MONTH(D240), 12)+1 &amp; "/15/" &amp; IF(MONTH(D240)&gt;12, YEAR(D240)+1, YEAR(D240))</f>
        <v>10/15/2019</v>
      </c>
      <c r="E241" s="181" t="str">
        <f>"Rent: "&amp;LOOKUP(A241-1, Months, TextMonths)&amp;" '"&amp;B241</f>
        <v>Rent: Oct '2019</v>
      </c>
      <c r="F241" s="175"/>
      <c r="G241" s="175">
        <v>2425</v>
      </c>
      <c r="H241" s="177">
        <f t="shared" si="7"/>
        <v>2425</v>
      </c>
    </row>
    <row r="242" spans="1:10" ht="12.75" customHeight="1" x14ac:dyDescent="0.2">
      <c r="A242" s="176">
        <f t="shared" si="0"/>
        <v>10</v>
      </c>
      <c r="B242" s="176">
        <f t="shared" si="1"/>
        <v>2019</v>
      </c>
      <c r="C242" s="176" t="str">
        <f t="shared" si="2"/>
        <v>Income: 1</v>
      </c>
      <c r="D242" s="178">
        <v>43755</v>
      </c>
      <c r="E242" s="172" t="s">
        <v>51</v>
      </c>
      <c r="F242" s="175">
        <v>2425</v>
      </c>
      <c r="G242" s="175"/>
      <c r="H242" s="177">
        <f t="shared" si="7"/>
        <v>0</v>
      </c>
    </row>
    <row r="243" spans="1:10" ht="12.75" customHeight="1" x14ac:dyDescent="0.2">
      <c r="A243" s="176">
        <f t="shared" si="0"/>
        <v>11</v>
      </c>
      <c r="B243" s="176">
        <f t="shared" si="1"/>
        <v>2019</v>
      </c>
      <c r="C243" s="176" t="str">
        <f t="shared" si="2"/>
        <v>Rent: 1</v>
      </c>
      <c r="D243" s="182" t="str">
        <f>MOD(MONTH(D242), 12)+1 &amp; "/15/" &amp; IF(MONTH(D242)&gt;12, YEAR(D242)+1, YEAR(D242))</f>
        <v>11/15/2019</v>
      </c>
      <c r="E243" s="181" t="str">
        <f>"Rent: "&amp;LOOKUP(A243-1, Months, TextMonths)&amp;" '"&amp;B243</f>
        <v>Rent: Nov '2019</v>
      </c>
      <c r="F243" s="175"/>
      <c r="G243" s="175">
        <v>2425</v>
      </c>
      <c r="H243" s="177">
        <f t="shared" si="7"/>
        <v>2425</v>
      </c>
      <c r="I243" s="181"/>
      <c r="J243" s="172"/>
    </row>
    <row r="244" spans="1:10" ht="12.75" customHeight="1" x14ac:dyDescent="0.2">
      <c r="A244" s="176">
        <f t="shared" si="0"/>
        <v>11</v>
      </c>
      <c r="B244" s="176">
        <f t="shared" si="1"/>
        <v>2019</v>
      </c>
      <c r="C244" s="176" t="str">
        <f t="shared" si="2"/>
        <v>Income: 1</v>
      </c>
      <c r="D244" s="178">
        <v>43789</v>
      </c>
      <c r="E244" s="172" t="s">
        <v>51</v>
      </c>
      <c r="F244" s="175">
        <v>2425</v>
      </c>
      <c r="G244" s="175"/>
      <c r="H244" s="177">
        <f t="shared" si="7"/>
        <v>0</v>
      </c>
      <c r="I244" s="173"/>
      <c r="J244" s="173"/>
    </row>
    <row r="245" spans="1:10" ht="12.75" customHeight="1" x14ac:dyDescent="0.2">
      <c r="A245" s="176">
        <f t="shared" si="0"/>
        <v>12</v>
      </c>
      <c r="B245" s="176">
        <f t="shared" si="1"/>
        <v>2019</v>
      </c>
      <c r="C245" s="176" t="str">
        <f t="shared" si="2"/>
        <v>Rent: 1</v>
      </c>
      <c r="D245" s="182" t="str">
        <f>MOD(MONTH(D244), 12)+1 &amp; "/15/" &amp; IF(MONTH(D244)&gt;12, YEAR(D244)+1, YEAR(D244))</f>
        <v>12/15/2019</v>
      </c>
      <c r="E245" s="181" t="str">
        <f>"Rent: "&amp;LOOKUP(A245-1, Months, TextMonths)&amp;" '"&amp;B245</f>
        <v>Rent: Dec '2019</v>
      </c>
      <c r="F245" s="175"/>
      <c r="G245" s="175">
        <v>2425</v>
      </c>
      <c r="H245" s="177">
        <f t="shared" si="7"/>
        <v>2425</v>
      </c>
    </row>
    <row r="246" spans="1:10" ht="12.75" customHeight="1" x14ac:dyDescent="0.2">
      <c r="A246" s="176">
        <f t="shared" si="0"/>
        <v>12</v>
      </c>
      <c r="B246" s="176">
        <f t="shared" si="1"/>
        <v>2019</v>
      </c>
      <c r="C246" s="176" t="str">
        <f t="shared" si="2"/>
        <v>Income: 1</v>
      </c>
      <c r="D246" s="178">
        <v>43815</v>
      </c>
      <c r="E246" s="172" t="s">
        <v>51</v>
      </c>
      <c r="F246" s="175">
        <v>2425</v>
      </c>
      <c r="G246" s="175"/>
      <c r="H246" s="177">
        <f t="shared" si="7"/>
        <v>0</v>
      </c>
    </row>
    <row r="247" spans="1:10" ht="12.75" customHeight="1" x14ac:dyDescent="0.2">
      <c r="A247" s="176">
        <f t="shared" si="0"/>
        <v>1</v>
      </c>
      <c r="B247" s="176">
        <f t="shared" si="1"/>
        <v>2020</v>
      </c>
      <c r="C247" s="176" t="str">
        <f t="shared" si="2"/>
        <v>Rent: 1</v>
      </c>
      <c r="D247" s="182" t="str">
        <f>MOD(MONTH(D246), 12)+1 &amp; "/15/" &amp; IF(MONTH(D246)&gt;12, YEAR(D246)+1, YEAR(D246)+1)</f>
        <v>1/15/2020</v>
      </c>
      <c r="E247" s="181" t="str">
        <f>"Rent: "&amp;LOOKUP(A247-1, Months, TextMonths)&amp;" '"&amp;B247</f>
        <v>Rent: Jan '2020</v>
      </c>
      <c r="F247" s="175"/>
      <c r="G247" s="175">
        <v>2425</v>
      </c>
      <c r="H247" s="177">
        <f t="shared" si="7"/>
        <v>2425</v>
      </c>
    </row>
    <row r="248" spans="1:10" ht="12.75" customHeight="1" x14ac:dyDescent="0.2">
      <c r="A248" s="176">
        <f t="shared" si="0"/>
        <v>1</v>
      </c>
      <c r="B248" s="176">
        <f t="shared" si="1"/>
        <v>2020</v>
      </c>
      <c r="C248" s="176" t="str">
        <f t="shared" si="2"/>
        <v>Income: 1</v>
      </c>
      <c r="D248" s="178">
        <v>43851</v>
      </c>
      <c r="E248" s="172" t="s">
        <v>51</v>
      </c>
      <c r="F248" s="175">
        <v>2425</v>
      </c>
      <c r="G248" s="175"/>
      <c r="H248" s="177">
        <f t="shared" si="7"/>
        <v>0</v>
      </c>
    </row>
    <row r="249" spans="1:10" ht="12.75" customHeight="1" x14ac:dyDescent="0.2">
      <c r="A249" s="176">
        <f t="shared" si="0"/>
        <v>2</v>
      </c>
      <c r="B249" s="176">
        <f t="shared" si="1"/>
        <v>2020</v>
      </c>
      <c r="C249" s="176" t="str">
        <f t="shared" si="2"/>
        <v>Rent: 1</v>
      </c>
      <c r="D249" s="182" t="str">
        <f>MOD(MONTH(D248), 12)+1 &amp; "/15/" &amp; IF(MONTH(D248)&gt;12, YEAR(D248)+1, YEAR(D248))</f>
        <v>2/15/2020</v>
      </c>
      <c r="E249" s="181" t="str">
        <f>"Rent: "&amp;LOOKUP(A249-1, Months, TextMonths)&amp;" '"&amp;B249</f>
        <v>Rent: Feb '2020</v>
      </c>
      <c r="F249" s="175"/>
      <c r="G249" s="175">
        <v>2425</v>
      </c>
      <c r="H249" s="177">
        <f t="shared" si="7"/>
        <v>2425</v>
      </c>
    </row>
    <row r="250" spans="1:10" ht="12.75" customHeight="1" x14ac:dyDescent="0.2">
      <c r="A250" s="176">
        <f t="shared" si="0"/>
        <v>2</v>
      </c>
      <c r="B250" s="176">
        <f t="shared" si="1"/>
        <v>2020</v>
      </c>
      <c r="C250" s="176" t="str">
        <f t="shared" si="2"/>
        <v>Income: 1</v>
      </c>
      <c r="D250" s="178">
        <v>43880</v>
      </c>
      <c r="E250" s="172" t="s">
        <v>51</v>
      </c>
      <c r="F250" s="175">
        <v>2425</v>
      </c>
      <c r="G250" s="175"/>
      <c r="H250" s="177">
        <f t="shared" si="7"/>
        <v>0</v>
      </c>
    </row>
    <row r="251" spans="1:10" ht="12.75" customHeight="1" x14ac:dyDescent="0.2">
      <c r="A251" s="176">
        <f t="shared" si="0"/>
        <v>3</v>
      </c>
      <c r="B251" s="176">
        <f t="shared" si="1"/>
        <v>2020</v>
      </c>
      <c r="C251" s="176" t="str">
        <f t="shared" si="2"/>
        <v>Rent: 1</v>
      </c>
      <c r="D251" s="182" t="str">
        <f>MOD(MONTH(D250), 12)+1 &amp; "/15/" &amp; IF(MONTH(D250)&gt;12, YEAR(D250)+1, YEAR(D250))</f>
        <v>3/15/2020</v>
      </c>
      <c r="E251" s="181" t="str">
        <f>"Rent: "&amp;LOOKUP(A251-1, Months, TextMonths)&amp;" '"&amp;B251</f>
        <v>Rent: Mar '2020</v>
      </c>
      <c r="F251" s="175"/>
      <c r="G251" s="175">
        <v>2425</v>
      </c>
      <c r="H251" s="177">
        <f t="shared" si="7"/>
        <v>2425</v>
      </c>
    </row>
    <row r="252" spans="1:10" ht="12.75" customHeight="1" x14ac:dyDescent="0.2">
      <c r="A252" s="176">
        <f t="shared" si="0"/>
        <v>3</v>
      </c>
      <c r="B252" s="176">
        <f t="shared" si="1"/>
        <v>2020</v>
      </c>
      <c r="C252" s="176" t="str">
        <f t="shared" si="2"/>
        <v>Income: 1</v>
      </c>
      <c r="D252" s="178">
        <v>43909</v>
      </c>
      <c r="E252" s="172" t="s">
        <v>51</v>
      </c>
      <c r="F252" s="175">
        <v>2425</v>
      </c>
      <c r="G252" s="175"/>
      <c r="H252" s="177">
        <f t="shared" si="7"/>
        <v>0</v>
      </c>
    </row>
    <row r="253" spans="1:10" ht="12.75" customHeight="1" x14ac:dyDescent="0.2">
      <c r="A253" s="176">
        <f t="shared" si="0"/>
        <v>4</v>
      </c>
      <c r="B253" s="176">
        <f t="shared" si="1"/>
        <v>2020</v>
      </c>
      <c r="C253" s="176" t="str">
        <f t="shared" si="2"/>
        <v>Rent: 1</v>
      </c>
      <c r="D253" s="182" t="str">
        <f>MOD(MONTH(D252), 12)+1 &amp; "/15/" &amp; IF(MONTH(D252)&gt;12, YEAR(D252)+1, YEAR(D252))</f>
        <v>4/15/2020</v>
      </c>
      <c r="E253" s="181" t="str">
        <f>"Rent: "&amp;LOOKUP(A253-1, Months, TextMonths)&amp;" '"&amp;B253</f>
        <v>Rent: Apr '2020</v>
      </c>
      <c r="F253" s="175"/>
      <c r="G253" s="175">
        <v>2425</v>
      </c>
      <c r="H253" s="177">
        <f t="shared" si="7"/>
        <v>2425</v>
      </c>
      <c r="I253" s="174"/>
    </row>
    <row r="254" spans="1:10" ht="12.75" customHeight="1" x14ac:dyDescent="0.2">
      <c r="A254" s="176">
        <f t="shared" si="0"/>
        <v>4</v>
      </c>
      <c r="B254" s="176">
        <f t="shared" si="1"/>
        <v>2020</v>
      </c>
      <c r="C254" s="176" t="str">
        <f t="shared" si="2"/>
        <v>Income: 1</v>
      </c>
      <c r="D254" s="178">
        <v>43941</v>
      </c>
      <c r="E254" s="172" t="s">
        <v>51</v>
      </c>
      <c r="F254" s="175">
        <v>2425</v>
      </c>
      <c r="G254" s="175"/>
      <c r="H254" s="177">
        <f t="shared" si="7"/>
        <v>0</v>
      </c>
      <c r="I254" s="174"/>
    </row>
    <row r="255" spans="1:10" ht="12.75" customHeight="1" x14ac:dyDescent="0.2">
      <c r="A255" s="176">
        <f t="shared" si="0"/>
        <v>5</v>
      </c>
      <c r="B255" s="176">
        <f t="shared" si="1"/>
        <v>2020</v>
      </c>
      <c r="C255" s="176" t="str">
        <f t="shared" si="2"/>
        <v>Rent: 1</v>
      </c>
      <c r="D255" s="182" t="str">
        <f>MOD(MONTH(D254), 12)+1 &amp; "/15/" &amp; IF(MONTH(D254)&gt;12, YEAR(D254)+1, YEAR(D254))</f>
        <v>5/15/2020</v>
      </c>
      <c r="E255" s="181" t="str">
        <f>"Rent: "&amp;LOOKUP(A255-1, Months, TextMonths)&amp;" '"&amp;B255</f>
        <v>Rent: May '2020</v>
      </c>
      <c r="F255" s="175"/>
      <c r="G255" s="175">
        <v>2425</v>
      </c>
      <c r="H255" s="177">
        <f t="shared" si="7"/>
        <v>2425</v>
      </c>
      <c r="I255" s="174"/>
    </row>
    <row r="256" spans="1:10" ht="12.75" customHeight="1" x14ac:dyDescent="0.2">
      <c r="A256" s="176">
        <f t="shared" si="0"/>
        <v>5</v>
      </c>
      <c r="B256" s="176">
        <f t="shared" si="1"/>
        <v>2020</v>
      </c>
      <c r="C256" s="176" t="str">
        <f t="shared" si="2"/>
        <v>Income: 1</v>
      </c>
      <c r="D256" s="178">
        <v>43971</v>
      </c>
      <c r="E256" s="172" t="s">
        <v>51</v>
      </c>
      <c r="F256" s="175">
        <v>2425</v>
      </c>
      <c r="G256" s="175"/>
      <c r="H256" s="177">
        <f t="shared" si="7"/>
        <v>0</v>
      </c>
      <c r="I256" s="174"/>
    </row>
    <row r="257" spans="1:13" ht="12.75" customHeight="1" x14ac:dyDescent="0.2">
      <c r="A257" s="176">
        <f t="shared" si="0"/>
        <v>6</v>
      </c>
      <c r="B257" s="176">
        <f t="shared" si="1"/>
        <v>2020</v>
      </c>
      <c r="C257" s="176" t="str">
        <f t="shared" si="2"/>
        <v>Rent: 1</v>
      </c>
      <c r="D257" s="182" t="str">
        <f>MOD(MONTH(D256), 12)+1 &amp; "/15/" &amp; IF(MONTH(D256)&gt;12, YEAR(D256)+1, YEAR(D256))</f>
        <v>6/15/2020</v>
      </c>
      <c r="E257" s="181" t="str">
        <f>"Rent: "&amp;LOOKUP(A257-1, Months, TextMonths)&amp;" '"&amp;B257</f>
        <v>Rent: Jun '2020</v>
      </c>
      <c r="F257" s="175"/>
      <c r="G257" s="175">
        <v>2425</v>
      </c>
      <c r="H257" s="177">
        <f t="shared" si="7"/>
        <v>2425</v>
      </c>
    </row>
    <row r="258" spans="1:13" ht="12.75" customHeight="1" x14ac:dyDescent="0.2">
      <c r="A258" s="176">
        <f t="shared" si="0"/>
        <v>6</v>
      </c>
      <c r="B258" s="176">
        <f t="shared" si="1"/>
        <v>2020</v>
      </c>
      <c r="C258" s="176" t="str">
        <f t="shared" si="2"/>
        <v>Income: 1</v>
      </c>
      <c r="D258" s="178">
        <v>44001</v>
      </c>
      <c r="E258" s="172" t="s">
        <v>51</v>
      </c>
      <c r="F258" s="175">
        <v>2425</v>
      </c>
      <c r="G258" s="175"/>
      <c r="H258" s="177">
        <f t="shared" si="7"/>
        <v>0</v>
      </c>
    </row>
    <row r="259" spans="1:13" ht="12.75" customHeight="1" x14ac:dyDescent="0.2">
      <c r="A259" s="176">
        <f t="shared" si="0"/>
        <v>7</v>
      </c>
      <c r="B259" s="176">
        <f t="shared" si="1"/>
        <v>2020</v>
      </c>
      <c r="C259" s="176" t="str">
        <f t="shared" si="2"/>
        <v>Rent: 1</v>
      </c>
      <c r="D259" s="182" t="str">
        <f>MOD(MONTH(D258), 12)+1 &amp; "/15/" &amp; IF(MONTH(D258)&gt;12, YEAR(D258)+1, YEAR(D258))</f>
        <v>7/15/2020</v>
      </c>
      <c r="E259" s="181" t="str">
        <f>"Rent: "&amp;LOOKUP(A259-1, Months, TextMonths)&amp;" '"&amp;B259</f>
        <v>Rent: Jul '2020</v>
      </c>
      <c r="F259" s="175"/>
      <c r="G259" s="175">
        <v>2425</v>
      </c>
      <c r="H259" s="177">
        <f t="shared" si="7"/>
        <v>2425</v>
      </c>
    </row>
    <row r="260" spans="1:13" ht="12.75" customHeight="1" x14ac:dyDescent="0.2">
      <c r="A260" s="176">
        <f t="shared" si="0"/>
        <v>7</v>
      </c>
      <c r="B260" s="176">
        <f t="shared" si="1"/>
        <v>2020</v>
      </c>
      <c r="C260" s="176" t="str">
        <f t="shared" si="2"/>
        <v>Income: 1</v>
      </c>
      <c r="D260" s="178">
        <v>44029</v>
      </c>
      <c r="E260" s="172" t="s">
        <v>51</v>
      </c>
      <c r="F260" s="175">
        <v>2425</v>
      </c>
      <c r="G260" s="175"/>
      <c r="H260" s="177">
        <f t="shared" si="7"/>
        <v>0</v>
      </c>
      <c r="I260" s="172"/>
    </row>
    <row r="261" spans="1:13" ht="12.75" customHeight="1" x14ac:dyDescent="0.2">
      <c r="A261" s="176">
        <f t="shared" si="0"/>
        <v>8</v>
      </c>
      <c r="B261" s="176">
        <f t="shared" si="1"/>
        <v>2020</v>
      </c>
      <c r="C261" s="176" t="str">
        <f t="shared" si="2"/>
        <v>Rent: 1</v>
      </c>
      <c r="D261" s="182" t="str">
        <f>MOD(MONTH(D260), 12)+1 &amp; "/15/" &amp; IF(MONTH(D260)&gt;12, YEAR(D260)+1, YEAR(D260))</f>
        <v>8/15/2020</v>
      </c>
      <c r="E261" s="181" t="str">
        <f>"Rent: "&amp;LOOKUP(A261-1, Months, TextMonths)&amp;" '"&amp;B261</f>
        <v>Rent: Aug '2020</v>
      </c>
      <c r="F261" s="175"/>
      <c r="G261" s="175">
        <v>2700</v>
      </c>
      <c r="H261" s="177">
        <f t="shared" si="7"/>
        <v>2700</v>
      </c>
    </row>
    <row r="262" spans="1:13" ht="12.75" customHeight="1" x14ac:dyDescent="0.2">
      <c r="A262" s="176">
        <f t="shared" ref="A262:A325" si="8">MONTH(D262)</f>
        <v>8</v>
      </c>
      <c r="B262" s="176">
        <f t="shared" ref="B262:B325" si="9">YEAR(D262)</f>
        <v>2020</v>
      </c>
      <c r="C262" s="176" t="str">
        <f t="shared" ref="C262:C325" si="10">IFERROR("Rent: "&amp;FIND("Rent",E262),IFERROR("Priv Tax: "&amp;FIND("Tax",E262), IFERROR("Income: "&amp;FIND("Payment",E262,1),"")))</f>
        <v>Income: 1</v>
      </c>
      <c r="D262" s="178">
        <v>44063</v>
      </c>
      <c r="E262" s="172" t="s">
        <v>51</v>
      </c>
      <c r="F262" s="175">
        <v>2700</v>
      </c>
      <c r="G262" s="175"/>
      <c r="H262" s="177">
        <f t="shared" si="7"/>
        <v>0</v>
      </c>
    </row>
    <row r="263" spans="1:13" ht="12.75" customHeight="1" x14ac:dyDescent="0.2">
      <c r="A263" s="176">
        <f t="shared" si="8"/>
        <v>9</v>
      </c>
      <c r="B263" s="176">
        <f t="shared" si="9"/>
        <v>2020</v>
      </c>
      <c r="C263" s="176" t="str">
        <f t="shared" si="10"/>
        <v>Rent: 1</v>
      </c>
      <c r="D263" s="182" t="str">
        <f>MOD(MONTH(D262), 12)+1 &amp; "/15/" &amp; IF(MONTH(D262)&gt;12, YEAR(D262)+1, YEAR(D262))</f>
        <v>9/15/2020</v>
      </c>
      <c r="E263" s="181" t="str">
        <f>"Rent: "&amp;LOOKUP(A263-1, Months, TextMonths)&amp;" '"&amp;B263</f>
        <v>Rent: Sep '2020</v>
      </c>
      <c r="F263" s="175"/>
      <c r="G263" s="175">
        <v>2700</v>
      </c>
      <c r="H263" s="177">
        <f t="shared" si="7"/>
        <v>2700</v>
      </c>
    </row>
    <row r="264" spans="1:13" ht="12.75" customHeight="1" x14ac:dyDescent="0.2">
      <c r="A264" s="176">
        <f t="shared" si="8"/>
        <v>9</v>
      </c>
      <c r="B264" s="176">
        <f t="shared" si="9"/>
        <v>2020</v>
      </c>
      <c r="C264" s="176" t="str">
        <f t="shared" si="10"/>
        <v>Income: 1</v>
      </c>
      <c r="D264" s="178">
        <v>44103</v>
      </c>
      <c r="E264" s="172" t="s">
        <v>51</v>
      </c>
      <c r="F264" s="175">
        <v>2725</v>
      </c>
      <c r="G264" s="175"/>
      <c r="H264" s="177">
        <f t="shared" si="7"/>
        <v>-25</v>
      </c>
    </row>
    <row r="265" spans="1:13" ht="12.75" customHeight="1" x14ac:dyDescent="0.2">
      <c r="A265" s="176">
        <f t="shared" si="8"/>
        <v>9</v>
      </c>
      <c r="B265" s="176">
        <f t="shared" si="9"/>
        <v>2020</v>
      </c>
      <c r="C265" s="176" t="str">
        <f t="shared" si="10"/>
        <v/>
      </c>
      <c r="D265" s="182">
        <v>44103</v>
      </c>
      <c r="E265" s="181" t="s">
        <v>52</v>
      </c>
      <c r="F265" s="175"/>
      <c r="G265" s="175">
        <v>25</v>
      </c>
      <c r="H265" s="190">
        <f t="shared" si="7"/>
        <v>0</v>
      </c>
      <c r="I265" s="172"/>
      <c r="J265" s="172"/>
      <c r="K265" s="172"/>
      <c r="L265" s="196"/>
      <c r="M265" s="196"/>
    </row>
    <row r="266" spans="1:13" ht="12.75" customHeight="1" x14ac:dyDescent="0.2">
      <c r="A266" s="176">
        <f t="shared" si="8"/>
        <v>10</v>
      </c>
      <c r="B266" s="176">
        <f t="shared" si="9"/>
        <v>2020</v>
      </c>
      <c r="C266" s="176" t="str">
        <f t="shared" si="10"/>
        <v>Rent: 1</v>
      </c>
      <c r="D266" s="182" t="str">
        <f>MOD(MONTH(D265), 12)+1 &amp; "/15/" &amp; IF(MONTH(D265)&gt;12, YEAR(D265)+1, YEAR(D265))</f>
        <v>10/15/2020</v>
      </c>
      <c r="E266" s="181" t="str">
        <f>"Rent: "&amp;LOOKUP(A266-1, Months, TextMonths)&amp;" '"&amp;B266</f>
        <v>Rent: Oct '2020</v>
      </c>
      <c r="F266" s="175"/>
      <c r="G266" s="175">
        <v>2700</v>
      </c>
      <c r="H266" s="177">
        <f t="shared" si="7"/>
        <v>2700</v>
      </c>
    </row>
    <row r="267" spans="1:13" ht="12.75" customHeight="1" x14ac:dyDescent="0.2">
      <c r="A267" s="176">
        <f t="shared" si="8"/>
        <v>10</v>
      </c>
      <c r="B267" s="176">
        <f t="shared" si="9"/>
        <v>2020</v>
      </c>
      <c r="C267" s="176" t="str">
        <f t="shared" si="10"/>
        <v>Income: 1</v>
      </c>
      <c r="D267" s="178">
        <v>44123</v>
      </c>
      <c r="E267" s="172" t="s">
        <v>51</v>
      </c>
      <c r="F267" s="175">
        <v>2700</v>
      </c>
      <c r="G267" s="175"/>
      <c r="H267" s="177">
        <f t="shared" si="7"/>
        <v>0</v>
      </c>
    </row>
    <row r="268" spans="1:13" ht="12.75" customHeight="1" x14ac:dyDescent="0.2">
      <c r="A268" s="176">
        <f t="shared" si="8"/>
        <v>11</v>
      </c>
      <c r="B268" s="176">
        <f t="shared" si="9"/>
        <v>2020</v>
      </c>
      <c r="C268" s="176" t="str">
        <f t="shared" si="10"/>
        <v>Rent: 1</v>
      </c>
      <c r="D268" s="182" t="str">
        <f>MOD(MONTH(D267), 12)+1 &amp; "/15/" &amp; IF(MONTH(D267)&gt;12, YEAR(D267)+1, YEAR(D267))</f>
        <v>11/15/2020</v>
      </c>
      <c r="E268" s="181" t="str">
        <f>"Rent: "&amp;LOOKUP(A268-1, Months, TextMonths)&amp;" '"&amp;B268</f>
        <v>Rent: Nov '2020</v>
      </c>
      <c r="F268" s="175"/>
      <c r="G268" s="175">
        <v>2700</v>
      </c>
      <c r="H268" s="177">
        <f t="shared" si="7"/>
        <v>2700</v>
      </c>
    </row>
    <row r="269" spans="1:13" ht="12.75" customHeight="1" x14ac:dyDescent="0.2">
      <c r="A269" s="176">
        <f t="shared" si="8"/>
        <v>11</v>
      </c>
      <c r="B269" s="176">
        <f t="shared" si="9"/>
        <v>2020</v>
      </c>
      <c r="C269" s="176" t="str">
        <f t="shared" si="10"/>
        <v>Income: 1</v>
      </c>
      <c r="D269" s="178">
        <v>44141</v>
      </c>
      <c r="E269" s="172" t="s">
        <v>51</v>
      </c>
      <c r="F269" s="175">
        <v>300</v>
      </c>
      <c r="G269" s="175"/>
      <c r="H269" s="177">
        <f t="shared" si="7"/>
        <v>2400</v>
      </c>
    </row>
    <row r="270" spans="1:13" ht="12.75" customHeight="1" x14ac:dyDescent="0.2">
      <c r="A270" s="176">
        <f t="shared" si="8"/>
        <v>11</v>
      </c>
      <c r="B270" s="176">
        <f t="shared" si="9"/>
        <v>2020</v>
      </c>
      <c r="C270" s="176" t="str">
        <f t="shared" si="10"/>
        <v>Income: 1</v>
      </c>
      <c r="D270" s="178">
        <v>44151</v>
      </c>
      <c r="E270" s="172" t="s">
        <v>51</v>
      </c>
      <c r="F270" s="175">
        <v>2400</v>
      </c>
      <c r="G270" s="175"/>
      <c r="H270" s="177">
        <f t="shared" si="7"/>
        <v>0</v>
      </c>
    </row>
    <row r="271" spans="1:13" ht="12.75" customHeight="1" x14ac:dyDescent="0.2">
      <c r="A271" s="176">
        <f t="shared" si="8"/>
        <v>12</v>
      </c>
      <c r="B271" s="176">
        <f t="shared" si="9"/>
        <v>2020</v>
      </c>
      <c r="C271" s="176" t="str">
        <f t="shared" si="10"/>
        <v>Rent: 1</v>
      </c>
      <c r="D271" s="182" t="str">
        <f>MOD(MONTH(D269), 12)+1 &amp; "/15/" &amp; IF(MONTH(D269)&gt;12, YEAR(D269)+1, YEAR(D269))</f>
        <v>12/15/2020</v>
      </c>
      <c r="E271" s="181" t="str">
        <f>"Rent: "&amp;LOOKUP(A271-1, Months, TextMonths)&amp;" '"&amp;B271</f>
        <v>Rent: Dec '2020</v>
      </c>
      <c r="F271" s="175"/>
      <c r="G271" s="175">
        <v>2700</v>
      </c>
      <c r="H271" s="177">
        <f t="shared" si="7"/>
        <v>2700</v>
      </c>
    </row>
    <row r="272" spans="1:13" ht="12.75" customHeight="1" x14ac:dyDescent="0.2">
      <c r="A272" s="176">
        <f t="shared" si="8"/>
        <v>12</v>
      </c>
      <c r="B272" s="176">
        <f t="shared" si="9"/>
        <v>2020</v>
      </c>
      <c r="C272" s="176" t="str">
        <f t="shared" si="10"/>
        <v>Income: 1</v>
      </c>
      <c r="D272" s="178">
        <v>44182</v>
      </c>
      <c r="E272" s="172" t="s">
        <v>51</v>
      </c>
      <c r="F272" s="175">
        <v>2700</v>
      </c>
      <c r="G272" s="175"/>
      <c r="H272" s="177">
        <f t="shared" si="7"/>
        <v>0</v>
      </c>
    </row>
    <row r="273" spans="1:8" ht="12.75" customHeight="1" x14ac:dyDescent="0.2">
      <c r="A273" s="176">
        <f t="shared" si="8"/>
        <v>1</v>
      </c>
      <c r="B273" s="176">
        <f t="shared" si="9"/>
        <v>2021</v>
      </c>
      <c r="C273" s="176" t="str">
        <f t="shared" si="10"/>
        <v>Rent: 1</v>
      </c>
      <c r="D273" s="182" t="str">
        <f>MOD(MONTH(D271), 12)+1 &amp; "/15/" &amp; IF(MONTH(D271)&gt;12, YEAR(D271)+1, YEAR(D271)+1)</f>
        <v>1/15/2021</v>
      </c>
      <c r="E273" s="181" t="str">
        <f>"Rent: "&amp;LOOKUP(A273-1, Months, TextMonths)&amp;" '"&amp;B273</f>
        <v>Rent: Jan '2021</v>
      </c>
      <c r="F273" s="175"/>
      <c r="G273" s="175">
        <v>2700</v>
      </c>
      <c r="H273" s="177">
        <f t="shared" si="7"/>
        <v>2700</v>
      </c>
    </row>
    <row r="274" spans="1:8" ht="12.75" customHeight="1" x14ac:dyDescent="0.2">
      <c r="A274" s="176">
        <f t="shared" si="8"/>
        <v>1</v>
      </c>
      <c r="B274" s="176">
        <f t="shared" si="9"/>
        <v>2021</v>
      </c>
      <c r="C274" s="176" t="str">
        <f t="shared" si="10"/>
        <v>Income: 1</v>
      </c>
      <c r="D274" s="178">
        <v>44216</v>
      </c>
      <c r="E274" s="172" t="s">
        <v>51</v>
      </c>
      <c r="F274" s="175">
        <v>2700</v>
      </c>
      <c r="G274" s="175"/>
      <c r="H274" s="177">
        <f t="shared" si="7"/>
        <v>0</v>
      </c>
    </row>
    <row r="275" spans="1:8" ht="12.75" customHeight="1" x14ac:dyDescent="0.2">
      <c r="A275" s="176">
        <f t="shared" si="8"/>
        <v>2</v>
      </c>
      <c r="B275" s="176">
        <f t="shared" si="9"/>
        <v>2022</v>
      </c>
      <c r="C275" s="176" t="str">
        <f t="shared" si="10"/>
        <v>Rent: 1</v>
      </c>
      <c r="D275" s="182" t="str">
        <f>MOD(MONTH(D273), 12)+1 &amp; "/15/" &amp; IF(MONTH(D273)&gt;12, YEAR(D273)+1, YEAR(D273)+1)</f>
        <v>2/15/2022</v>
      </c>
      <c r="E275" s="181" t="str">
        <f>"Rent: "&amp;LOOKUP(A275-1, Months, TextMonths)&amp;" '"&amp;B275</f>
        <v>Rent: Feb '2022</v>
      </c>
      <c r="F275" s="175"/>
      <c r="G275" s="175">
        <v>2700</v>
      </c>
      <c r="H275" s="177">
        <f t="shared" si="7"/>
        <v>2700</v>
      </c>
    </row>
    <row r="276" spans="1:8" ht="12.75" customHeight="1" x14ac:dyDescent="0.2">
      <c r="A276" s="176">
        <f t="shared" si="8"/>
        <v>1</v>
      </c>
      <c r="B276" s="176">
        <f t="shared" si="9"/>
        <v>1900</v>
      </c>
      <c r="C276" s="176" t="str">
        <f t="shared" si="10"/>
        <v/>
      </c>
      <c r="D276" s="182"/>
      <c r="E276" s="181" t="s">
        <v>52</v>
      </c>
      <c r="F276" s="175"/>
      <c r="G276" s="175">
        <v>25</v>
      </c>
      <c r="H276" s="177">
        <f t="shared" si="7"/>
        <v>2725</v>
      </c>
    </row>
    <row r="277" spans="1:8" ht="12.75" customHeight="1" x14ac:dyDescent="0.2">
      <c r="A277" s="176">
        <f t="shared" si="8"/>
        <v>2</v>
      </c>
      <c r="B277" s="176">
        <f t="shared" si="9"/>
        <v>2021</v>
      </c>
      <c r="C277" s="176" t="str">
        <f t="shared" si="10"/>
        <v>Income: 1</v>
      </c>
      <c r="D277" s="178">
        <v>44250</v>
      </c>
      <c r="E277" s="172" t="s">
        <v>51</v>
      </c>
      <c r="F277" s="175">
        <v>2725</v>
      </c>
      <c r="G277" s="175"/>
      <c r="H277" s="177">
        <f t="shared" si="7"/>
        <v>0</v>
      </c>
    </row>
    <row r="278" spans="1:8" ht="12.75" customHeight="1" x14ac:dyDescent="0.2">
      <c r="A278" s="176">
        <f t="shared" si="8"/>
        <v>3</v>
      </c>
      <c r="B278" s="176">
        <f t="shared" si="9"/>
        <v>2021</v>
      </c>
      <c r="C278" s="176" t="str">
        <f t="shared" si="10"/>
        <v>Rent: 1</v>
      </c>
      <c r="D278" s="182">
        <v>44270</v>
      </c>
      <c r="E278" s="181" t="str">
        <f>"Rent: "&amp;LOOKUP(A278-1, Months, TextMonths)&amp;" '"&amp;B278</f>
        <v>Rent: Mar '2021</v>
      </c>
      <c r="F278" s="175"/>
      <c r="G278" s="175">
        <v>2700</v>
      </c>
      <c r="H278" s="177">
        <f t="shared" si="7"/>
        <v>2700</v>
      </c>
    </row>
    <row r="279" spans="1:8" ht="12.75" customHeight="1" x14ac:dyDescent="0.2">
      <c r="A279" s="176">
        <f t="shared" si="8"/>
        <v>3</v>
      </c>
      <c r="B279" s="176">
        <f t="shared" si="9"/>
        <v>2021</v>
      </c>
      <c r="C279" s="176" t="str">
        <f t="shared" si="10"/>
        <v>Income: 1</v>
      </c>
      <c r="D279" s="178">
        <v>44274</v>
      </c>
      <c r="E279" s="172" t="s">
        <v>51</v>
      </c>
      <c r="F279" s="175">
        <v>2700</v>
      </c>
      <c r="G279" s="175"/>
      <c r="H279" s="177">
        <f t="shared" si="7"/>
        <v>0</v>
      </c>
    </row>
    <row r="280" spans="1:8" ht="12.75" customHeight="1" x14ac:dyDescent="0.2">
      <c r="A280" s="176">
        <f t="shared" si="8"/>
        <v>3</v>
      </c>
      <c r="B280" s="176">
        <f t="shared" si="9"/>
        <v>2021</v>
      </c>
      <c r="C280" s="176" t="str">
        <f t="shared" si="10"/>
        <v>Rent: 1</v>
      </c>
      <c r="D280" s="182" t="str">
        <f>MOD(MONTH(D277), 12)+1 &amp; "/15/" &amp; IF(MONTH(D278)&gt;12, YEAR(D278)+1, YEAR(D278))</f>
        <v>3/15/2021</v>
      </c>
      <c r="E280" s="181" t="str">
        <f>"Rent: "&amp;LOOKUP(A280-1, Months, TextMonths)&amp;" '"&amp;B280</f>
        <v>Rent: Mar '2021</v>
      </c>
      <c r="F280" s="175"/>
      <c r="G280" s="175">
        <v>2700</v>
      </c>
      <c r="H280" s="177">
        <f t="shared" si="7"/>
        <v>2700</v>
      </c>
    </row>
    <row r="281" spans="1:8" ht="12.75" customHeight="1" x14ac:dyDescent="0.2">
      <c r="A281" s="176">
        <f t="shared" si="8"/>
        <v>3</v>
      </c>
      <c r="B281" s="176">
        <f t="shared" si="9"/>
        <v>2021</v>
      </c>
      <c r="C281" s="176" t="str">
        <f t="shared" si="10"/>
        <v>Income: 1</v>
      </c>
      <c r="D281" s="178">
        <v>44274</v>
      </c>
      <c r="E281" s="172" t="s">
        <v>51</v>
      </c>
      <c r="F281" s="175">
        <v>2700</v>
      </c>
      <c r="G281" s="175"/>
      <c r="H281" s="177">
        <f t="shared" si="7"/>
        <v>0</v>
      </c>
    </row>
    <row r="282" spans="1:8" ht="12.75" customHeight="1" x14ac:dyDescent="0.2">
      <c r="A282" s="176">
        <f t="shared" si="8"/>
        <v>4</v>
      </c>
      <c r="B282" s="176">
        <f t="shared" si="9"/>
        <v>2021</v>
      </c>
      <c r="C282" s="176" t="str">
        <f t="shared" si="10"/>
        <v>Rent: 1</v>
      </c>
      <c r="D282" s="182" t="str">
        <f>MOD(MONTH(D279), 12)+1 &amp; "/15/" &amp; IF(MONTH(D280)&gt;12, YEAR(D280)+1, YEAR(D280))</f>
        <v>4/15/2021</v>
      </c>
      <c r="E282" s="181" t="str">
        <f>"Rent: "&amp;LOOKUP(A282-1, Months, TextMonths)&amp;" '"&amp;B282</f>
        <v>Rent: Apr '2021</v>
      </c>
      <c r="F282" s="175"/>
      <c r="G282" s="175">
        <v>2700</v>
      </c>
      <c r="H282" s="177">
        <f t="shared" si="7"/>
        <v>2700</v>
      </c>
    </row>
    <row r="283" spans="1:8" ht="12.75" customHeight="1" x14ac:dyDescent="0.2">
      <c r="A283" s="176">
        <f t="shared" si="8"/>
        <v>4</v>
      </c>
      <c r="B283" s="176">
        <f t="shared" si="9"/>
        <v>2021</v>
      </c>
      <c r="C283" s="176" t="str">
        <f t="shared" si="10"/>
        <v>Income: 1</v>
      </c>
      <c r="D283" s="178">
        <v>44306</v>
      </c>
      <c r="E283" s="172" t="s">
        <v>51</v>
      </c>
      <c r="F283" s="175">
        <v>2700</v>
      </c>
      <c r="G283" s="175"/>
      <c r="H283" s="177">
        <f t="shared" si="7"/>
        <v>0</v>
      </c>
    </row>
    <row r="284" spans="1:8" ht="12.75" customHeight="1" x14ac:dyDescent="0.2">
      <c r="A284" s="176">
        <f t="shared" si="8"/>
        <v>5</v>
      </c>
      <c r="B284" s="176">
        <f t="shared" si="9"/>
        <v>2021</v>
      </c>
      <c r="C284" s="176" t="str">
        <f t="shared" si="10"/>
        <v>Rent: 1</v>
      </c>
      <c r="D284" s="182" t="str">
        <f>MOD(MONTH(D281), 12)+2 &amp; "/15/" &amp; IF(MONTH(D282)&gt;12, YEAR(D282)+1, YEAR(D282))</f>
        <v>5/15/2021</v>
      </c>
      <c r="E284" s="181" t="str">
        <f>"Rent: "&amp;LOOKUP(A284-1, Months, TextMonths)&amp;" '"&amp;B284</f>
        <v>Rent: May '2021</v>
      </c>
      <c r="F284" s="175"/>
      <c r="G284" s="175">
        <v>2700</v>
      </c>
      <c r="H284" s="177">
        <f t="shared" si="7"/>
        <v>2700</v>
      </c>
    </row>
    <row r="285" spans="1:8" ht="12.75" customHeight="1" x14ac:dyDescent="0.2">
      <c r="A285" s="176">
        <f t="shared" si="8"/>
        <v>5</v>
      </c>
      <c r="B285" s="176">
        <f t="shared" si="9"/>
        <v>2021</v>
      </c>
      <c r="C285" s="176" t="str">
        <f t="shared" si="10"/>
        <v>Income: 1</v>
      </c>
      <c r="D285" s="178">
        <v>44336</v>
      </c>
      <c r="E285" s="172" t="s">
        <v>51</v>
      </c>
      <c r="F285" s="175">
        <v>2700</v>
      </c>
      <c r="G285" s="175"/>
      <c r="H285" s="177">
        <f t="shared" si="7"/>
        <v>0</v>
      </c>
    </row>
    <row r="286" spans="1:8" ht="12.75" customHeight="1" x14ac:dyDescent="0.2">
      <c r="A286" s="176">
        <f t="shared" si="8"/>
        <v>6</v>
      </c>
      <c r="B286" s="176">
        <f t="shared" si="9"/>
        <v>2021</v>
      </c>
      <c r="C286" s="176" t="str">
        <f t="shared" si="10"/>
        <v>Rent: 1</v>
      </c>
      <c r="D286" s="182" t="str">
        <f>MOD(MONTH(D283)+1, 12)+1 &amp; "/15/" &amp; IF(MONTH(D284)&gt;12, YEAR(D284)+1, YEAR(D284))</f>
        <v>6/15/2021</v>
      </c>
      <c r="E286" s="181" t="str">
        <f>"Rent: "&amp;LOOKUP(A286-1, Months, TextMonths)&amp;" '"&amp;B286</f>
        <v>Rent: Jun '2021</v>
      </c>
      <c r="F286" s="175"/>
      <c r="G286" s="175">
        <v>2700</v>
      </c>
      <c r="H286" s="177">
        <f t="shared" si="7"/>
        <v>2700</v>
      </c>
    </row>
    <row r="287" spans="1:8" ht="12.75" customHeight="1" x14ac:dyDescent="0.2">
      <c r="A287" s="176">
        <f t="shared" si="8"/>
        <v>6</v>
      </c>
      <c r="B287" s="176">
        <f t="shared" si="9"/>
        <v>2021</v>
      </c>
      <c r="C287" s="176" t="str">
        <f t="shared" si="10"/>
        <v>Income: 1</v>
      </c>
      <c r="D287" s="178">
        <v>44368</v>
      </c>
      <c r="E287" s="172" t="s">
        <v>51</v>
      </c>
      <c r="F287" s="175">
        <v>2700</v>
      </c>
      <c r="G287" s="175"/>
      <c r="H287" s="177">
        <f t="shared" si="7"/>
        <v>0</v>
      </c>
    </row>
    <row r="288" spans="1:8" ht="12.75" customHeight="1" x14ac:dyDescent="0.2">
      <c r="A288" s="176">
        <f t="shared" si="8"/>
        <v>7</v>
      </c>
      <c r="B288" s="176">
        <f t="shared" si="9"/>
        <v>2021</v>
      </c>
      <c r="C288" s="176" t="str">
        <f t="shared" si="10"/>
        <v>Rent: 1</v>
      </c>
      <c r="D288" s="182" t="str">
        <f>MOD(MONTH(D285)+1, 12)+1 &amp; "/15/" &amp; IF(MONTH(D286)&gt;12, YEAR(D286)+1, YEAR(D286))</f>
        <v>7/15/2021</v>
      </c>
      <c r="E288" s="181" t="str">
        <f>"Rent: "&amp;LOOKUP(A288-1, Months, TextMonths)&amp;" '"&amp;B288</f>
        <v>Rent: Jul '2021</v>
      </c>
      <c r="F288" s="175"/>
      <c r="G288" s="175">
        <v>2700</v>
      </c>
      <c r="H288" s="177">
        <f t="shared" si="7"/>
        <v>2700</v>
      </c>
    </row>
    <row r="289" spans="1:8" ht="12.75" customHeight="1" x14ac:dyDescent="0.2">
      <c r="A289" s="176">
        <f t="shared" si="8"/>
        <v>7</v>
      </c>
      <c r="B289" s="176">
        <f t="shared" si="9"/>
        <v>2021</v>
      </c>
      <c r="C289" s="176" t="str">
        <f t="shared" si="10"/>
        <v>Income: 1</v>
      </c>
      <c r="D289" s="178">
        <v>44397</v>
      </c>
      <c r="E289" s="172" t="s">
        <v>51</v>
      </c>
      <c r="F289" s="175">
        <v>2700</v>
      </c>
      <c r="G289" s="175"/>
      <c r="H289" s="177">
        <f t="shared" si="7"/>
        <v>0</v>
      </c>
    </row>
    <row r="290" spans="1:8" ht="12.75" customHeight="1" x14ac:dyDescent="0.2">
      <c r="A290" s="176">
        <f t="shared" si="8"/>
        <v>8</v>
      </c>
      <c r="B290" s="176">
        <f t="shared" si="9"/>
        <v>2021</v>
      </c>
      <c r="C290" s="176" t="str">
        <f t="shared" si="10"/>
        <v>Rent: 1</v>
      </c>
      <c r="D290" s="182" t="str">
        <f>MOD(MONTH(D287)+1, 12)+1 &amp; "/15/" &amp; IF(MONTH(D288)&gt;12, YEAR(D288)+1, YEAR(D288))</f>
        <v>8/15/2021</v>
      </c>
      <c r="E290" s="181" t="str">
        <f>"Rent: "&amp;LOOKUP(A290-1, Months, TextMonths)&amp;" '"&amp;B290</f>
        <v>Rent: Aug '2021</v>
      </c>
      <c r="F290" s="175"/>
      <c r="G290" s="175">
        <v>2700</v>
      </c>
      <c r="H290" s="177">
        <f t="shared" si="7"/>
        <v>2700</v>
      </c>
    </row>
    <row r="291" spans="1:8" ht="12.75" customHeight="1" x14ac:dyDescent="0.2">
      <c r="A291" s="176">
        <f t="shared" si="8"/>
        <v>1</v>
      </c>
      <c r="B291" s="176">
        <f t="shared" si="9"/>
        <v>1900</v>
      </c>
      <c r="C291" s="176" t="str">
        <f t="shared" si="10"/>
        <v/>
      </c>
      <c r="D291" s="182"/>
      <c r="E291" s="181" t="s">
        <v>52</v>
      </c>
      <c r="F291" s="175"/>
      <c r="G291" s="175">
        <v>25</v>
      </c>
      <c r="H291" s="177">
        <f t="shared" si="7"/>
        <v>2725</v>
      </c>
    </row>
    <row r="292" spans="1:8" ht="12.75" customHeight="1" x14ac:dyDescent="0.2">
      <c r="A292" s="176">
        <f t="shared" si="8"/>
        <v>8</v>
      </c>
      <c r="B292" s="176">
        <f t="shared" si="9"/>
        <v>2021</v>
      </c>
      <c r="C292" s="176" t="str">
        <f t="shared" si="10"/>
        <v>Income: 1</v>
      </c>
      <c r="D292" s="178">
        <v>44431</v>
      </c>
      <c r="E292" s="172" t="s">
        <v>51</v>
      </c>
      <c r="F292" s="175">
        <v>2725</v>
      </c>
      <c r="G292" s="175"/>
      <c r="H292" s="177">
        <f t="shared" si="7"/>
        <v>0</v>
      </c>
    </row>
    <row r="293" spans="1:8" ht="12.75" customHeight="1" x14ac:dyDescent="0.2">
      <c r="A293" s="176">
        <f t="shared" si="8"/>
        <v>9</v>
      </c>
      <c r="B293" s="176">
        <f t="shared" si="9"/>
        <v>2021</v>
      </c>
      <c r="C293" s="176" t="str">
        <f t="shared" si="10"/>
        <v>Rent: 1</v>
      </c>
      <c r="D293" s="182" t="str">
        <f>MOD(MONTH(D289)+1, 12)+1 &amp; "/15/" &amp; IF(MONTH(D290)&gt;12, YEAR(D290)+1, YEAR(D290))</f>
        <v>9/15/2021</v>
      </c>
      <c r="E293" s="181" t="str">
        <f>"Rent: "&amp;LOOKUP(A293-1, Months, TextMonths)&amp;" '"&amp;B293</f>
        <v>Rent: Sep '2021</v>
      </c>
      <c r="F293" s="175"/>
      <c r="G293" s="175">
        <v>2700</v>
      </c>
      <c r="H293" s="177">
        <f t="shared" si="7"/>
        <v>2700</v>
      </c>
    </row>
    <row r="294" spans="1:8" ht="12.75" customHeight="1" x14ac:dyDescent="0.2">
      <c r="A294" s="176">
        <f t="shared" si="8"/>
        <v>9</v>
      </c>
      <c r="B294" s="176">
        <f t="shared" si="9"/>
        <v>2021</v>
      </c>
      <c r="C294" s="176" t="str">
        <f t="shared" si="10"/>
        <v>Income: 1</v>
      </c>
      <c r="D294" s="178">
        <v>44459</v>
      </c>
      <c r="E294" s="172" t="s">
        <v>51</v>
      </c>
      <c r="F294" s="175">
        <v>2700</v>
      </c>
      <c r="G294" s="175"/>
      <c r="H294" s="177">
        <f t="shared" si="7"/>
        <v>0</v>
      </c>
    </row>
    <row r="295" spans="1:8" ht="12.75" customHeight="1" x14ac:dyDescent="0.2">
      <c r="A295" s="176">
        <f t="shared" si="8"/>
        <v>10</v>
      </c>
      <c r="B295" s="176">
        <f t="shared" si="9"/>
        <v>2021</v>
      </c>
      <c r="C295" s="176" t="str">
        <f t="shared" si="10"/>
        <v>Rent: 1</v>
      </c>
      <c r="D295" s="182" t="str">
        <f>MOD(MONTH(D292)+1, 12)+1 &amp; "/15/" &amp; IF(MONTH(D293)&gt;12, YEAR(D293)+1, YEAR(D293))</f>
        <v>10/15/2021</v>
      </c>
      <c r="E295" s="181" t="str">
        <f>"Rent: "&amp;LOOKUP(A295-1, Months, TextMonths)&amp;" '"&amp;B295</f>
        <v>Rent: Oct '2021</v>
      </c>
      <c r="F295" s="175"/>
      <c r="G295" s="175">
        <v>2700</v>
      </c>
      <c r="H295" s="177">
        <f t="shared" si="7"/>
        <v>2700</v>
      </c>
    </row>
    <row r="296" spans="1:8" ht="12.75" customHeight="1" x14ac:dyDescent="0.2">
      <c r="A296" s="176">
        <f t="shared" si="8"/>
        <v>10</v>
      </c>
      <c r="B296" s="176">
        <f t="shared" si="9"/>
        <v>2021</v>
      </c>
      <c r="C296" s="176" t="str">
        <f t="shared" si="10"/>
        <v>Income: 1</v>
      </c>
      <c r="D296" s="178">
        <v>44488</v>
      </c>
      <c r="E296" s="172" t="s">
        <v>51</v>
      </c>
      <c r="F296" s="175">
        <v>2700</v>
      </c>
      <c r="G296" s="175"/>
      <c r="H296" s="177">
        <f t="shared" si="7"/>
        <v>0</v>
      </c>
    </row>
    <row r="297" spans="1:8" ht="12.75" customHeight="1" x14ac:dyDescent="0.2">
      <c r="A297" s="176">
        <f t="shared" si="8"/>
        <v>11</v>
      </c>
      <c r="B297" s="176">
        <f t="shared" si="9"/>
        <v>2021</v>
      </c>
      <c r="C297" s="176" t="str">
        <f t="shared" si="10"/>
        <v>Rent: 1</v>
      </c>
      <c r="D297" s="182" t="str">
        <f>MOD(MONTH(D294)+1, 12)+1 &amp; "/15/" &amp; IF(MONTH(D295)&gt;12, YEAR(D295)+1, YEAR(D295))</f>
        <v>11/15/2021</v>
      </c>
      <c r="E297" s="181" t="str">
        <f>"Rent: "&amp;LOOKUP(A297-1, Months, TextMonths)&amp;" '"&amp;B297</f>
        <v>Rent: Nov '2021</v>
      </c>
      <c r="F297" s="175"/>
      <c r="G297" s="175">
        <v>2700</v>
      </c>
      <c r="H297" s="177">
        <f t="shared" si="7"/>
        <v>2700</v>
      </c>
    </row>
    <row r="298" spans="1:8" ht="12.75" customHeight="1" x14ac:dyDescent="0.2">
      <c r="A298" s="176">
        <f t="shared" si="8"/>
        <v>11</v>
      </c>
      <c r="B298" s="176">
        <f t="shared" si="9"/>
        <v>2021</v>
      </c>
      <c r="C298" s="176" t="str">
        <f t="shared" si="10"/>
        <v>Income: 1</v>
      </c>
      <c r="D298" s="178">
        <v>44519</v>
      </c>
      <c r="E298" s="172" t="s">
        <v>51</v>
      </c>
      <c r="F298" s="175">
        <v>2700</v>
      </c>
      <c r="G298" s="175"/>
      <c r="H298" s="177">
        <f t="shared" ref="H298:H356" si="11">H297+G298-F298</f>
        <v>0</v>
      </c>
    </row>
    <row r="299" spans="1:8" ht="12.75" customHeight="1" x14ac:dyDescent="0.2">
      <c r="A299" s="176">
        <f t="shared" si="8"/>
        <v>12</v>
      </c>
      <c r="B299" s="176">
        <f t="shared" si="9"/>
        <v>2021</v>
      </c>
      <c r="C299" s="176" t="str">
        <f t="shared" si="10"/>
        <v>Rent: 1</v>
      </c>
      <c r="D299" s="182" t="str">
        <f>MOD(MONTH(D296)+1, 12)+1 &amp; "/15/" &amp; IF(MONTH(D297)&gt;12, YEAR(D297)+1, YEAR(D297))</f>
        <v>12/15/2021</v>
      </c>
      <c r="E299" s="181" t="str">
        <f>"Rent: "&amp;LOOKUP(A299-1, Months, TextMonths)&amp;" '"&amp;B299</f>
        <v>Rent: Dec '2021</v>
      </c>
      <c r="F299" s="175"/>
      <c r="G299" s="175">
        <v>2700</v>
      </c>
      <c r="H299" s="177">
        <f t="shared" si="11"/>
        <v>2700</v>
      </c>
    </row>
    <row r="300" spans="1:8" ht="12.75" customHeight="1" x14ac:dyDescent="0.2">
      <c r="A300" s="176">
        <f t="shared" si="8"/>
        <v>12</v>
      </c>
      <c r="B300" s="176">
        <f t="shared" si="9"/>
        <v>2021</v>
      </c>
      <c r="C300" s="176" t="str">
        <f t="shared" si="10"/>
        <v>Income: 1</v>
      </c>
      <c r="D300" s="178">
        <v>44553</v>
      </c>
      <c r="E300" s="172" t="s">
        <v>51</v>
      </c>
      <c r="F300" s="175">
        <v>2700</v>
      </c>
      <c r="G300" s="175"/>
      <c r="H300" s="177">
        <f t="shared" si="11"/>
        <v>0</v>
      </c>
    </row>
    <row r="301" spans="1:8" ht="12.75" customHeight="1" x14ac:dyDescent="0.2">
      <c r="A301" s="176">
        <f t="shared" si="8"/>
        <v>1</v>
      </c>
      <c r="B301" s="176">
        <f t="shared" si="9"/>
        <v>2022</v>
      </c>
      <c r="C301" s="176" t="str">
        <f t="shared" si="10"/>
        <v>Rent: 1</v>
      </c>
      <c r="D301" s="182" t="str">
        <f>MOD(MONTH(D298)+1, 12)+1 &amp; "/15/" &amp; IF(MONTH(D299)&gt;12, YEAR(D299)+1, YEAR(D299)+1)</f>
        <v>1/15/2022</v>
      </c>
      <c r="E301" s="181" t="str">
        <f>"Rent: "&amp;LOOKUP(A301-1, Months, TextMonths)&amp;" '"&amp;B301</f>
        <v>Rent: Jan '2022</v>
      </c>
      <c r="F301" s="175"/>
      <c r="G301" s="175">
        <v>2700</v>
      </c>
      <c r="H301" s="177">
        <f t="shared" si="11"/>
        <v>2700</v>
      </c>
    </row>
    <row r="302" spans="1:8" ht="12.75" customHeight="1" x14ac:dyDescent="0.2">
      <c r="A302" s="176">
        <f t="shared" si="8"/>
        <v>1</v>
      </c>
      <c r="B302" s="176">
        <f t="shared" si="9"/>
        <v>2022</v>
      </c>
      <c r="C302" s="176" t="str">
        <f t="shared" si="10"/>
        <v>Income: 1</v>
      </c>
      <c r="D302" s="178">
        <v>44580</v>
      </c>
      <c r="E302" s="172" t="s">
        <v>51</v>
      </c>
      <c r="F302" s="175">
        <v>2700</v>
      </c>
      <c r="G302" s="175"/>
      <c r="H302" s="177">
        <f t="shared" si="11"/>
        <v>0</v>
      </c>
    </row>
    <row r="303" spans="1:8" ht="12.75" customHeight="1" x14ac:dyDescent="0.2">
      <c r="A303" s="176">
        <f t="shared" si="8"/>
        <v>2</v>
      </c>
      <c r="B303" s="176">
        <f t="shared" si="9"/>
        <v>2022</v>
      </c>
      <c r="C303" s="176" t="str">
        <f t="shared" si="10"/>
        <v>Rent: 1</v>
      </c>
      <c r="D303" s="182" t="str">
        <f>MOD(MONTH(D300)+1, 12)+1 &amp; "/15/" &amp; IF(MONTH(D301)&gt;12, YEAR(D301)+1, YEAR(D301))</f>
        <v>2/15/2022</v>
      </c>
      <c r="E303" s="181" t="str">
        <f>"Rent: "&amp;LOOKUP(A303-1, Months, TextMonths)&amp;" '"&amp;B303</f>
        <v>Rent: Feb '2022</v>
      </c>
      <c r="F303" s="175"/>
      <c r="G303" s="175">
        <v>2700</v>
      </c>
      <c r="H303" s="177">
        <f t="shared" si="11"/>
        <v>2700</v>
      </c>
    </row>
    <row r="304" spans="1:8" ht="12.75" customHeight="1" x14ac:dyDescent="0.2">
      <c r="A304" s="176">
        <f t="shared" si="8"/>
        <v>2</v>
      </c>
      <c r="B304" s="176">
        <f t="shared" si="9"/>
        <v>2022</v>
      </c>
      <c r="C304" s="176" t="str">
        <f t="shared" si="10"/>
        <v>Income: 1</v>
      </c>
      <c r="D304" s="178">
        <v>44610</v>
      </c>
      <c r="E304" s="172" t="s">
        <v>51</v>
      </c>
      <c r="F304" s="175">
        <v>2700</v>
      </c>
      <c r="G304" s="175"/>
      <c r="H304" s="177">
        <f t="shared" si="11"/>
        <v>0</v>
      </c>
    </row>
    <row r="305" spans="1:9" ht="12.75" customHeight="1" x14ac:dyDescent="0.2">
      <c r="A305" s="176">
        <f t="shared" si="8"/>
        <v>3</v>
      </c>
      <c r="B305" s="176">
        <f t="shared" si="9"/>
        <v>2022</v>
      </c>
      <c r="C305" s="176" t="str">
        <f t="shared" si="10"/>
        <v>Rent: 1</v>
      </c>
      <c r="D305" s="182" t="str">
        <f>MOD(MONTH(D302)+1, 12)+1 &amp; "/15/" &amp; IF(MONTH(D303)&gt;12, YEAR(D303)+1, YEAR(D303))</f>
        <v>3/15/2022</v>
      </c>
      <c r="E305" s="181" t="str">
        <f>"Rent: "&amp;LOOKUP(A305-1, Months, TextMonths)&amp;" '"&amp;B305</f>
        <v>Rent: Mar '2022</v>
      </c>
      <c r="F305" s="175"/>
      <c r="G305" s="175">
        <v>2850</v>
      </c>
      <c r="H305" s="177">
        <f t="shared" si="11"/>
        <v>2850</v>
      </c>
      <c r="I305" s="172"/>
    </row>
    <row r="306" spans="1:9" ht="12.75" customHeight="1" x14ac:dyDescent="0.2">
      <c r="A306" s="176">
        <f t="shared" si="8"/>
        <v>3</v>
      </c>
      <c r="B306" s="176">
        <f t="shared" si="9"/>
        <v>2022</v>
      </c>
      <c r="C306" s="176" t="str">
        <f t="shared" si="10"/>
        <v>Income: 1</v>
      </c>
      <c r="D306" s="178">
        <v>44641</v>
      </c>
      <c r="E306" s="172" t="s">
        <v>51</v>
      </c>
      <c r="F306" s="175">
        <v>2875</v>
      </c>
      <c r="G306" s="175"/>
      <c r="H306" s="177">
        <f t="shared" si="11"/>
        <v>-25</v>
      </c>
    </row>
    <row r="307" spans="1:9" ht="12.75" customHeight="1" x14ac:dyDescent="0.2">
      <c r="A307" s="176">
        <f t="shared" si="8"/>
        <v>3</v>
      </c>
      <c r="B307" s="176">
        <f t="shared" si="9"/>
        <v>2022</v>
      </c>
      <c r="C307" s="176" t="str">
        <f t="shared" si="10"/>
        <v/>
      </c>
      <c r="D307" s="182">
        <v>44641</v>
      </c>
      <c r="E307" s="181" t="s">
        <v>52</v>
      </c>
      <c r="F307" s="175"/>
      <c r="G307" s="175">
        <v>25</v>
      </c>
      <c r="H307" s="177">
        <f t="shared" si="11"/>
        <v>0</v>
      </c>
    </row>
    <row r="308" spans="1:9" ht="12.75" customHeight="1" x14ac:dyDescent="0.2">
      <c r="A308" s="176">
        <f t="shared" si="8"/>
        <v>4</v>
      </c>
      <c r="B308" s="176">
        <f t="shared" si="9"/>
        <v>2022</v>
      </c>
      <c r="C308" s="176" t="str">
        <f t="shared" si="10"/>
        <v>Rent: 1</v>
      </c>
      <c r="D308" s="182" t="str">
        <f>MOD(MONTH(D305), 12)+1 &amp; "/15/" &amp; IF(MONTH(D306)&gt;12, YEAR(D306)+1, YEAR(D306))</f>
        <v>4/15/2022</v>
      </c>
      <c r="E308" s="181" t="str">
        <f>"Rent: "&amp;LOOKUP(A308-1, Months, TextMonths)&amp;" '"&amp;B308</f>
        <v>Rent: Apr '2022</v>
      </c>
      <c r="F308" s="175"/>
      <c r="G308" s="175">
        <v>2850</v>
      </c>
      <c r="H308" s="177">
        <f t="shared" si="11"/>
        <v>2850</v>
      </c>
    </row>
    <row r="309" spans="1:9" ht="12.75" customHeight="1" x14ac:dyDescent="0.2">
      <c r="A309" s="176">
        <f t="shared" si="8"/>
        <v>3</v>
      </c>
      <c r="B309" s="176">
        <f t="shared" si="9"/>
        <v>2022</v>
      </c>
      <c r="C309" s="176" t="str">
        <f t="shared" si="10"/>
        <v/>
      </c>
      <c r="D309" s="182">
        <v>44641</v>
      </c>
      <c r="E309" s="181" t="s">
        <v>52</v>
      </c>
      <c r="F309" s="175"/>
      <c r="G309" s="175">
        <v>25</v>
      </c>
      <c r="H309" s="177">
        <f t="shared" si="11"/>
        <v>2875</v>
      </c>
    </row>
    <row r="310" spans="1:9" ht="12.75" customHeight="1" x14ac:dyDescent="0.2">
      <c r="A310" s="176">
        <f t="shared" si="8"/>
        <v>4</v>
      </c>
      <c r="B310" s="176">
        <f t="shared" si="9"/>
        <v>2022</v>
      </c>
      <c r="C310" s="176" t="str">
        <f t="shared" si="10"/>
        <v>Income: 1</v>
      </c>
      <c r="D310" s="178">
        <v>44673</v>
      </c>
      <c r="E310" s="172" t="s">
        <v>51</v>
      </c>
      <c r="F310" s="175">
        <v>2875</v>
      </c>
      <c r="G310" s="175"/>
      <c r="H310" s="177">
        <f t="shared" si="11"/>
        <v>0</v>
      </c>
    </row>
    <row r="311" spans="1:9" ht="12.75" customHeight="1" x14ac:dyDescent="0.2">
      <c r="A311" s="176">
        <f t="shared" si="8"/>
        <v>5</v>
      </c>
      <c r="B311" s="176">
        <f t="shared" si="9"/>
        <v>2022</v>
      </c>
      <c r="C311" s="176" t="str">
        <f t="shared" si="10"/>
        <v>Rent: 1</v>
      </c>
      <c r="D311" s="182" t="str">
        <f>MOD(MONTH(D308), 12)+1 &amp; "/15/" &amp; IF(MONTH(D309)&gt;12, YEAR(D309)+1, YEAR(D309))</f>
        <v>5/15/2022</v>
      </c>
      <c r="E311" s="181" t="str">
        <f>"Rent: "&amp;LOOKUP(A311-1, Months, TextMonths)&amp;" '"&amp;B311</f>
        <v>Rent: May '2022</v>
      </c>
      <c r="F311" s="175"/>
      <c r="G311" s="175">
        <v>2850</v>
      </c>
      <c r="H311" s="177">
        <f t="shared" si="11"/>
        <v>2850</v>
      </c>
    </row>
    <row r="312" spans="1:9" ht="12.75" customHeight="1" x14ac:dyDescent="0.2">
      <c r="A312" s="176">
        <f t="shared" si="8"/>
        <v>5</v>
      </c>
      <c r="B312" s="176">
        <f t="shared" si="9"/>
        <v>2022</v>
      </c>
      <c r="C312" s="176" t="str">
        <f t="shared" si="10"/>
        <v>Income: 1</v>
      </c>
      <c r="D312" s="178">
        <v>44701</v>
      </c>
      <c r="E312" s="172" t="s">
        <v>51</v>
      </c>
      <c r="F312" s="175">
        <v>2850</v>
      </c>
      <c r="G312" s="175"/>
      <c r="H312" s="177">
        <f t="shared" si="11"/>
        <v>0</v>
      </c>
    </row>
    <row r="313" spans="1:9" ht="12.75" customHeight="1" x14ac:dyDescent="0.2">
      <c r="A313" s="176">
        <f t="shared" si="8"/>
        <v>6</v>
      </c>
      <c r="B313" s="176">
        <f t="shared" si="9"/>
        <v>2022</v>
      </c>
      <c r="C313" s="176" t="str">
        <f t="shared" si="10"/>
        <v>Rent: 1</v>
      </c>
      <c r="D313" s="182" t="str">
        <f>MOD(MONTH(D312), 12)+1 &amp; "/15/" &amp; IF(MONTH(D311)&gt;12, YEAR(D311)+1, YEAR(D311))</f>
        <v>6/15/2022</v>
      </c>
      <c r="E313" s="181" t="str">
        <f>"Rent: "&amp;LOOKUP(A313-1, Months, TextMonths)&amp;" '"&amp;B313</f>
        <v>Rent: Jun '2022</v>
      </c>
      <c r="F313" s="175"/>
      <c r="G313" s="175">
        <v>2850</v>
      </c>
      <c r="H313" s="177">
        <f t="shared" si="11"/>
        <v>2850</v>
      </c>
    </row>
    <row r="314" spans="1:9" ht="12.75" customHeight="1" x14ac:dyDescent="0.2">
      <c r="A314" s="176">
        <f t="shared" si="8"/>
        <v>6</v>
      </c>
      <c r="B314" s="176">
        <f t="shared" si="9"/>
        <v>2022</v>
      </c>
      <c r="C314" s="176" t="str">
        <f t="shared" si="10"/>
        <v>Income: 1</v>
      </c>
      <c r="D314" s="178">
        <v>44733</v>
      </c>
      <c r="E314" s="172" t="s">
        <v>51</v>
      </c>
      <c r="F314" s="175">
        <v>2850</v>
      </c>
      <c r="G314" s="175"/>
      <c r="H314" s="177">
        <f t="shared" si="11"/>
        <v>0</v>
      </c>
    </row>
    <row r="315" spans="1:9" ht="12.75" customHeight="1" x14ac:dyDescent="0.2">
      <c r="A315" s="176">
        <f t="shared" si="8"/>
        <v>7</v>
      </c>
      <c r="B315" s="176">
        <f t="shared" si="9"/>
        <v>2022</v>
      </c>
      <c r="C315" s="176" t="str">
        <f t="shared" si="10"/>
        <v>Rent: 1</v>
      </c>
      <c r="D315" s="182" t="str">
        <f>MOD(MONTH(D314), 12)+1 &amp; "/15/" &amp; IF(MONTH(D313)&gt;12, YEAR(D313)+1, YEAR(D313))</f>
        <v>7/15/2022</v>
      </c>
      <c r="E315" s="181" t="str">
        <f>"Rent: "&amp;LOOKUP(A315-1, Months, TextMonths)&amp;" '"&amp;B315</f>
        <v>Rent: Jul '2022</v>
      </c>
      <c r="F315" s="175"/>
      <c r="G315" s="175">
        <v>2850</v>
      </c>
      <c r="H315" s="177">
        <f t="shared" si="11"/>
        <v>2850</v>
      </c>
    </row>
    <row r="316" spans="1:9" ht="12.75" customHeight="1" x14ac:dyDescent="0.2">
      <c r="A316" s="176">
        <f t="shared" si="8"/>
        <v>7</v>
      </c>
      <c r="B316" s="176">
        <f t="shared" si="9"/>
        <v>2022</v>
      </c>
      <c r="C316" s="176" t="str">
        <f t="shared" si="10"/>
        <v>Income: 1</v>
      </c>
      <c r="D316" s="178">
        <v>44762</v>
      </c>
      <c r="E316" s="172" t="s">
        <v>51</v>
      </c>
      <c r="F316" s="175">
        <v>2646</v>
      </c>
      <c r="G316" s="175"/>
      <c r="H316" s="177">
        <f t="shared" si="11"/>
        <v>204</v>
      </c>
    </row>
    <row r="317" spans="1:9" ht="12.75" customHeight="1" x14ac:dyDescent="0.2">
      <c r="A317" s="176">
        <f t="shared" si="8"/>
        <v>7</v>
      </c>
      <c r="B317" s="176">
        <f t="shared" si="9"/>
        <v>2022</v>
      </c>
      <c r="C317" s="176" t="str">
        <f t="shared" si="10"/>
        <v/>
      </c>
      <c r="D317" s="178">
        <v>44762</v>
      </c>
      <c r="E317" s="172" t="s">
        <v>168</v>
      </c>
      <c r="F317" s="175">
        <v>204</v>
      </c>
      <c r="G317" s="175"/>
      <c r="H317" s="177">
        <f t="shared" si="11"/>
        <v>0</v>
      </c>
    </row>
    <row r="318" spans="1:9" ht="12.75" customHeight="1" x14ac:dyDescent="0.2">
      <c r="A318" s="176">
        <f t="shared" si="8"/>
        <v>8</v>
      </c>
      <c r="B318" s="176">
        <f t="shared" si="9"/>
        <v>2022</v>
      </c>
      <c r="C318" s="176" t="str">
        <f t="shared" si="10"/>
        <v>Rent: 1</v>
      </c>
      <c r="D318" s="182" t="str">
        <f>MOD(MONTH(D316), 12)+1 &amp; "/15/" &amp; IF(MONTH(D315)&gt;12, YEAR(D315)+1, YEAR(D315))</f>
        <v>8/15/2022</v>
      </c>
      <c r="E318" s="181" t="str">
        <f>"Rent: "&amp;LOOKUP(A318-1, Months, TextMonths)&amp;" '"&amp;B318</f>
        <v>Rent: Aug '2022</v>
      </c>
      <c r="F318" s="175"/>
      <c r="G318" s="175">
        <v>2850</v>
      </c>
      <c r="H318" s="177">
        <f t="shared" si="11"/>
        <v>2850</v>
      </c>
    </row>
    <row r="319" spans="1:9" ht="12.75" customHeight="1" x14ac:dyDescent="0.2">
      <c r="A319" s="176">
        <f t="shared" si="8"/>
        <v>8</v>
      </c>
      <c r="B319" s="176">
        <f t="shared" si="9"/>
        <v>2022</v>
      </c>
      <c r="C319" s="176" t="str">
        <f t="shared" si="10"/>
        <v>Income: 1</v>
      </c>
      <c r="D319" s="178">
        <v>44789</v>
      </c>
      <c r="E319" s="172" t="s">
        <v>51</v>
      </c>
      <c r="F319" s="175">
        <v>2850</v>
      </c>
      <c r="G319" s="175"/>
      <c r="H319" s="177">
        <f t="shared" si="11"/>
        <v>0</v>
      </c>
    </row>
    <row r="320" spans="1:9" ht="12.75" customHeight="1" x14ac:dyDescent="0.2">
      <c r="A320" s="176">
        <f t="shared" si="8"/>
        <v>9</v>
      </c>
      <c r="B320" s="176">
        <f t="shared" si="9"/>
        <v>2022</v>
      </c>
      <c r="C320" s="176" t="str">
        <f t="shared" si="10"/>
        <v>Rent: 1</v>
      </c>
      <c r="D320" s="182" t="str">
        <f>MOD(MONTH(D318), 12)+1 &amp; "/15/" &amp; IF(MONTH(D317)&gt;12, YEAR(D317)+1, YEAR(D317))</f>
        <v>9/15/2022</v>
      </c>
      <c r="E320" s="181" t="str">
        <f>"Rent: "&amp;LOOKUP(A320-1, Months, TextMonths)&amp;" '"&amp;B320</f>
        <v>Rent: Sep '2022</v>
      </c>
      <c r="F320" s="175"/>
      <c r="G320" s="175">
        <v>2850</v>
      </c>
      <c r="H320" s="177">
        <f t="shared" si="11"/>
        <v>2850</v>
      </c>
    </row>
    <row r="321" spans="1:8" ht="12.75" customHeight="1" x14ac:dyDescent="0.2">
      <c r="A321" s="176">
        <f t="shared" si="8"/>
        <v>9</v>
      </c>
      <c r="B321" s="176">
        <f t="shared" si="9"/>
        <v>2022</v>
      </c>
      <c r="C321" s="176" t="str">
        <f t="shared" si="10"/>
        <v>Income: 1</v>
      </c>
      <c r="D321" s="178">
        <v>44819</v>
      </c>
      <c r="E321" s="172" t="s">
        <v>51</v>
      </c>
      <c r="F321" s="175">
        <v>2850</v>
      </c>
      <c r="G321" s="175"/>
      <c r="H321" s="177">
        <f t="shared" si="11"/>
        <v>0</v>
      </c>
    </row>
    <row r="322" spans="1:8" ht="12.75" customHeight="1" x14ac:dyDescent="0.2">
      <c r="A322" s="176">
        <f t="shared" si="8"/>
        <v>10</v>
      </c>
      <c r="B322" s="176">
        <f t="shared" si="9"/>
        <v>2022</v>
      </c>
      <c r="C322" s="176" t="str">
        <f t="shared" si="10"/>
        <v>Rent: 1</v>
      </c>
      <c r="D322" s="182" t="str">
        <f>MOD(MONTH(D320), 12)+1 &amp; "/15/" &amp; IF(MONTH(D319)&gt;12, YEAR(D319)+1, YEAR(D319))</f>
        <v>10/15/2022</v>
      </c>
      <c r="E322" s="181" t="str">
        <f>"Rent: "&amp;LOOKUP(A322-1, Months, TextMonths)&amp;" '"&amp;B322</f>
        <v>Rent: Oct '2022</v>
      </c>
      <c r="F322" s="175"/>
      <c r="G322" s="175">
        <v>2850</v>
      </c>
      <c r="H322" s="177">
        <f t="shared" si="11"/>
        <v>2850</v>
      </c>
    </row>
    <row r="323" spans="1:8" ht="12.75" customHeight="1" x14ac:dyDescent="0.2">
      <c r="A323" s="176">
        <f t="shared" si="8"/>
        <v>10</v>
      </c>
      <c r="B323" s="176">
        <f t="shared" si="9"/>
        <v>2022</v>
      </c>
      <c r="C323" s="176" t="str">
        <f t="shared" si="10"/>
        <v>Income: 1</v>
      </c>
      <c r="D323" s="178">
        <v>44854</v>
      </c>
      <c r="E323" s="172" t="s">
        <v>51</v>
      </c>
      <c r="F323" s="175">
        <v>2850</v>
      </c>
      <c r="G323" s="175"/>
      <c r="H323" s="177">
        <f t="shared" si="11"/>
        <v>0</v>
      </c>
    </row>
    <row r="324" spans="1:8" ht="12.75" customHeight="1" x14ac:dyDescent="0.2">
      <c r="A324" s="176">
        <f t="shared" si="8"/>
        <v>11</v>
      </c>
      <c r="B324" s="176">
        <f t="shared" si="9"/>
        <v>2022</v>
      </c>
      <c r="C324" s="176" t="str">
        <f t="shared" si="10"/>
        <v>Rent: 1</v>
      </c>
      <c r="D324" s="182" t="str">
        <f>MOD(MONTH(D322), 12)+1 &amp; "/15/" &amp; IF(MONTH(D321)&gt;12, YEAR(D321)+1, YEAR(D321))</f>
        <v>11/15/2022</v>
      </c>
      <c r="E324" s="181" t="str">
        <f>"Rent: "&amp;LOOKUP(A324-1, Months, TextMonths)&amp;" '"&amp;B324</f>
        <v>Rent: Nov '2022</v>
      </c>
      <c r="F324" s="175"/>
      <c r="G324" s="175">
        <v>2850</v>
      </c>
      <c r="H324" s="177">
        <f t="shared" si="11"/>
        <v>2850</v>
      </c>
    </row>
    <row r="325" spans="1:8" ht="12.75" customHeight="1" x14ac:dyDescent="0.2">
      <c r="A325" s="176">
        <f t="shared" si="8"/>
        <v>11</v>
      </c>
      <c r="B325" s="176">
        <f t="shared" si="9"/>
        <v>2022</v>
      </c>
      <c r="C325" s="176" t="str">
        <f t="shared" si="10"/>
        <v>Income: 1</v>
      </c>
      <c r="D325" s="178">
        <v>44881</v>
      </c>
      <c r="E325" s="172" t="s">
        <v>51</v>
      </c>
      <c r="F325" s="175">
        <v>2850</v>
      </c>
      <c r="G325" s="175"/>
      <c r="H325" s="177">
        <f t="shared" si="11"/>
        <v>0</v>
      </c>
    </row>
    <row r="326" spans="1:8" ht="12.75" customHeight="1" x14ac:dyDescent="0.2">
      <c r="A326" s="176">
        <f t="shared" ref="A326:A339" si="12">MONTH(D326)</f>
        <v>12</v>
      </c>
      <c r="B326" s="176">
        <f t="shared" ref="B326:B339" si="13">YEAR(D326)</f>
        <v>2022</v>
      </c>
      <c r="C326" s="176" t="str">
        <f t="shared" ref="C326:C356" si="14">IFERROR("Rent: "&amp;FIND("Rent",E326),IFERROR("Priv Tax: "&amp;FIND("Tax",E326), IFERROR("Income: "&amp;FIND("Payment",E326,1),"")))</f>
        <v>Rent: 1</v>
      </c>
      <c r="D326" s="182" t="str">
        <f>MOD(MONTH(D324), 12)+1 &amp; "/15/" &amp; IF(MONTH(D323)&gt;12, YEAR(D323)+1, YEAR(D323))</f>
        <v>12/15/2022</v>
      </c>
      <c r="E326" s="181" t="str">
        <f>"Rent: "&amp;LOOKUP(A326-1, Months, TextMonths)&amp;" '"&amp;B326</f>
        <v>Rent: Dec '2022</v>
      </c>
      <c r="F326" s="175"/>
      <c r="G326" s="175">
        <v>2850</v>
      </c>
      <c r="H326" s="177">
        <f t="shared" si="11"/>
        <v>2850</v>
      </c>
    </row>
    <row r="327" spans="1:8" ht="12.75" customHeight="1" x14ac:dyDescent="0.2">
      <c r="A327" s="176">
        <f t="shared" si="12"/>
        <v>12</v>
      </c>
      <c r="B327" s="176">
        <f t="shared" si="13"/>
        <v>2022</v>
      </c>
      <c r="C327" s="176" t="str">
        <f t="shared" si="14"/>
        <v>Income: 1</v>
      </c>
      <c r="D327" s="198">
        <v>44915</v>
      </c>
      <c r="E327" s="172" t="s">
        <v>51</v>
      </c>
      <c r="F327" s="175">
        <v>2850</v>
      </c>
      <c r="G327" s="175"/>
      <c r="H327" s="177">
        <f t="shared" si="11"/>
        <v>0</v>
      </c>
    </row>
    <row r="328" spans="1:8" ht="12.75" customHeight="1" x14ac:dyDescent="0.2">
      <c r="A328" s="102">
        <f t="shared" si="12"/>
        <v>1</v>
      </c>
      <c r="B328" s="102">
        <f t="shared" si="13"/>
        <v>2023</v>
      </c>
      <c r="C328" s="102" t="str">
        <f t="shared" si="14"/>
        <v>Rent: 1</v>
      </c>
      <c r="D328" s="120" t="str">
        <f>MOD(MONTH(D326), 12)+1 &amp; "/15/" &amp; IF(MONTH(D327)&gt;=12, YEAR(D327)+1, YEAR(D327))</f>
        <v>1/15/2023</v>
      </c>
      <c r="E328" s="121" t="str">
        <f>"Rent: "&amp;LOOKUP(A328-1, Months, TextMonths)&amp;" '"&amp;B328</f>
        <v>Rent: Jan '2023</v>
      </c>
      <c r="F328" s="36"/>
      <c r="G328" s="36">
        <v>2850</v>
      </c>
      <c r="H328" s="107">
        <f t="shared" si="11"/>
        <v>2850</v>
      </c>
    </row>
    <row r="329" spans="1:8" ht="12.75" customHeight="1" x14ac:dyDescent="0.2">
      <c r="A329" s="102">
        <f t="shared" si="12"/>
        <v>1</v>
      </c>
      <c r="B329" s="102">
        <f t="shared" si="13"/>
        <v>2023</v>
      </c>
      <c r="C329" s="102" t="str">
        <f t="shared" si="14"/>
        <v>Income: 1</v>
      </c>
      <c r="D329" s="231">
        <v>44950</v>
      </c>
      <c r="E329" s="29" t="s">
        <v>51</v>
      </c>
      <c r="F329" s="36">
        <v>2850</v>
      </c>
      <c r="G329" s="36"/>
      <c r="H329" s="107">
        <f t="shared" si="11"/>
        <v>0</v>
      </c>
    </row>
    <row r="330" spans="1:8" ht="12.75" customHeight="1" x14ac:dyDescent="0.2">
      <c r="A330" s="102">
        <f t="shared" si="12"/>
        <v>2</v>
      </c>
      <c r="B330" s="102">
        <f t="shared" si="13"/>
        <v>2023</v>
      </c>
      <c r="C330" s="102" t="str">
        <f t="shared" si="14"/>
        <v>Rent: 1</v>
      </c>
      <c r="D330" s="120" t="str">
        <f>MOD(MONTH(D328), 12)+1 &amp; "/15/" &amp; IF(MONTH(D329)&gt;=12, YEAR(D329)+1, YEAR(D329))</f>
        <v>2/15/2023</v>
      </c>
      <c r="E330" s="121" t="str">
        <f>"Rent: "&amp;LOOKUP(A330-1, Months, TextMonths)&amp;" '"&amp;B330</f>
        <v>Rent: Feb '2023</v>
      </c>
      <c r="F330" s="36"/>
      <c r="G330" s="36">
        <v>2850</v>
      </c>
      <c r="H330" s="107">
        <f t="shared" si="11"/>
        <v>2850</v>
      </c>
    </row>
    <row r="331" spans="1:8" ht="12.75" customHeight="1" x14ac:dyDescent="0.2">
      <c r="A331" s="102">
        <f t="shared" si="12"/>
        <v>2</v>
      </c>
      <c r="B331" s="102">
        <f t="shared" si="13"/>
        <v>2023</v>
      </c>
      <c r="C331" s="102" t="str">
        <f t="shared" si="14"/>
        <v/>
      </c>
      <c r="D331" s="120">
        <v>44977</v>
      </c>
      <c r="E331" s="121" t="s">
        <v>52</v>
      </c>
      <c r="F331" s="36"/>
      <c r="G331" s="36">
        <v>25</v>
      </c>
      <c r="H331" s="107">
        <f t="shared" si="11"/>
        <v>2875</v>
      </c>
    </row>
    <row r="332" spans="1:8" ht="12.75" customHeight="1" x14ac:dyDescent="0.2">
      <c r="A332" s="102">
        <f t="shared" si="12"/>
        <v>2</v>
      </c>
      <c r="B332" s="102">
        <f t="shared" si="13"/>
        <v>2023</v>
      </c>
      <c r="C332" s="102" t="str">
        <f t="shared" si="14"/>
        <v>Income: 1</v>
      </c>
      <c r="D332" s="231">
        <v>44981</v>
      </c>
      <c r="E332" s="29" t="s">
        <v>51</v>
      </c>
      <c r="F332" s="36">
        <v>2875</v>
      </c>
      <c r="G332" s="36"/>
      <c r="H332" s="107">
        <f t="shared" si="11"/>
        <v>0</v>
      </c>
    </row>
    <row r="333" spans="1:8" ht="12.75" customHeight="1" x14ac:dyDescent="0.2">
      <c r="A333" s="102">
        <f t="shared" si="12"/>
        <v>3</v>
      </c>
      <c r="B333" s="102">
        <f t="shared" si="13"/>
        <v>2023</v>
      </c>
      <c r="C333" s="102" t="str">
        <f t="shared" si="14"/>
        <v>Rent: 1</v>
      </c>
      <c r="D333" s="120" t="str">
        <f>MOD(MONTH(D331), 12)+1 &amp; "/15/" &amp; IF(MONTH(D332)&gt;=12, YEAR(D332)+1, YEAR(D332))</f>
        <v>3/15/2023</v>
      </c>
      <c r="E333" s="121" t="str">
        <f>"Rent: "&amp;LOOKUP(A333-1, Months, TextMonths)&amp;" '"&amp;B333</f>
        <v>Rent: Mar '2023</v>
      </c>
      <c r="F333" s="36"/>
      <c r="G333" s="36">
        <v>3025</v>
      </c>
      <c r="H333" s="107">
        <f t="shared" si="11"/>
        <v>3025</v>
      </c>
    </row>
    <row r="334" spans="1:8" ht="12.75" customHeight="1" x14ac:dyDescent="0.2">
      <c r="A334" s="102">
        <f t="shared" si="12"/>
        <v>3</v>
      </c>
      <c r="B334" s="102">
        <f t="shared" si="13"/>
        <v>2023</v>
      </c>
      <c r="C334" s="102" t="str">
        <f t="shared" si="14"/>
        <v/>
      </c>
      <c r="D334" s="120">
        <v>45005</v>
      </c>
      <c r="E334" s="121" t="s">
        <v>52</v>
      </c>
      <c r="F334" s="36"/>
      <c r="G334" s="36">
        <v>25</v>
      </c>
      <c r="H334" s="107">
        <f t="shared" si="11"/>
        <v>3050</v>
      </c>
    </row>
    <row r="335" spans="1:8" ht="12.75" customHeight="1" x14ac:dyDescent="0.2">
      <c r="A335" s="102">
        <f t="shared" si="12"/>
        <v>3</v>
      </c>
      <c r="B335" s="102">
        <f t="shared" si="13"/>
        <v>2023</v>
      </c>
      <c r="C335" s="102" t="str">
        <f t="shared" si="14"/>
        <v>Income: 1</v>
      </c>
      <c r="D335" s="231">
        <v>45007</v>
      </c>
      <c r="E335" s="29" t="s">
        <v>51</v>
      </c>
      <c r="F335" s="36">
        <v>3050</v>
      </c>
      <c r="G335" s="36"/>
      <c r="H335" s="107">
        <f t="shared" si="11"/>
        <v>0</v>
      </c>
    </row>
    <row r="336" spans="1:8" ht="12.75" customHeight="1" x14ac:dyDescent="0.2">
      <c r="A336" s="102">
        <f t="shared" si="12"/>
        <v>4</v>
      </c>
      <c r="B336" s="102">
        <f t="shared" si="13"/>
        <v>2023</v>
      </c>
      <c r="C336" s="102" t="str">
        <f t="shared" si="14"/>
        <v>Rent: 1</v>
      </c>
      <c r="D336" s="120" t="str">
        <f>MOD(MONTH(D334), 12)+1 &amp; "/15/" &amp; IF(MONTH(D335)&gt;=12, YEAR(D335)+1, YEAR(D335))</f>
        <v>4/15/2023</v>
      </c>
      <c r="E336" s="121" t="str">
        <f>"Rent: "&amp;LOOKUP(A336-1, Months, TextMonths)&amp;" '"&amp;B336</f>
        <v>Rent: Apr '2023</v>
      </c>
      <c r="F336" s="36"/>
      <c r="G336" s="36">
        <v>3025</v>
      </c>
      <c r="H336" s="107">
        <f t="shared" si="11"/>
        <v>3025</v>
      </c>
    </row>
    <row r="337" spans="1:8" ht="12.75" customHeight="1" x14ac:dyDescent="0.2">
      <c r="A337" s="102">
        <f t="shared" si="12"/>
        <v>4</v>
      </c>
      <c r="B337" s="102">
        <f t="shared" si="13"/>
        <v>2023</v>
      </c>
      <c r="C337" s="102" t="str">
        <f t="shared" si="14"/>
        <v/>
      </c>
      <c r="D337" s="120">
        <v>45036</v>
      </c>
      <c r="E337" s="121" t="s">
        <v>52</v>
      </c>
      <c r="F337" s="36"/>
      <c r="G337" s="36">
        <v>25</v>
      </c>
      <c r="H337" s="107">
        <f t="shared" si="11"/>
        <v>3050</v>
      </c>
    </row>
    <row r="338" spans="1:8" ht="12.75" customHeight="1" x14ac:dyDescent="0.2">
      <c r="A338" s="102">
        <f t="shared" si="12"/>
        <v>4</v>
      </c>
      <c r="B338" s="102">
        <f t="shared" si="13"/>
        <v>2023</v>
      </c>
      <c r="C338" s="102" t="str">
        <f t="shared" si="14"/>
        <v>Income: 1</v>
      </c>
      <c r="D338" s="231">
        <v>45043</v>
      </c>
      <c r="E338" s="29" t="s">
        <v>51</v>
      </c>
      <c r="F338" s="36">
        <v>3050</v>
      </c>
      <c r="G338" s="36"/>
      <c r="H338" s="107">
        <f t="shared" si="11"/>
        <v>0</v>
      </c>
    </row>
    <row r="339" spans="1:8" ht="12.75" customHeight="1" x14ac:dyDescent="0.2">
      <c r="A339" s="102">
        <f t="shared" si="12"/>
        <v>5</v>
      </c>
      <c r="B339" s="102">
        <f t="shared" si="13"/>
        <v>2023</v>
      </c>
      <c r="C339" s="102" t="str">
        <f t="shared" si="14"/>
        <v>Rent: 1</v>
      </c>
      <c r="D339" s="120" t="str">
        <f>MOD(MONTH(D337), 12)+1 &amp; "/15/" &amp; IF(MONTH(D338)&gt;=12, YEAR(D338)+1, YEAR(D338))</f>
        <v>5/15/2023</v>
      </c>
      <c r="E339" s="121" t="str">
        <f>"Rent: "&amp;LOOKUP(A339-1, Months, TextMonths)&amp;" '"&amp;B339</f>
        <v>Rent: May '2023</v>
      </c>
      <c r="F339" s="36"/>
      <c r="G339" s="36">
        <v>3025</v>
      </c>
      <c r="H339" s="107">
        <f t="shared" si="11"/>
        <v>3025</v>
      </c>
    </row>
    <row r="340" spans="1:8" ht="12.75" customHeight="1" x14ac:dyDescent="0.2">
      <c r="A340" s="102">
        <f>MONTH(D339)</f>
        <v>5</v>
      </c>
      <c r="B340" s="102">
        <f>YEAR(D339)</f>
        <v>2023</v>
      </c>
      <c r="C340" s="102" t="str">
        <f t="shared" si="14"/>
        <v/>
      </c>
      <c r="D340" s="120">
        <v>45066</v>
      </c>
      <c r="E340" s="121" t="s">
        <v>52</v>
      </c>
      <c r="F340" s="36"/>
      <c r="G340" s="36">
        <v>25</v>
      </c>
      <c r="H340" s="107">
        <f t="shared" si="11"/>
        <v>3050</v>
      </c>
    </row>
    <row r="341" spans="1:8" ht="12.75" customHeight="1" x14ac:dyDescent="0.2">
      <c r="A341" s="102">
        <f t="shared" ref="A341:A343" si="15">MONTH(D341)</f>
        <v>5</v>
      </c>
      <c r="B341" s="102">
        <f t="shared" ref="B341:B343" si="16">YEAR(D341)</f>
        <v>2023</v>
      </c>
      <c r="C341" s="102" t="str">
        <f t="shared" si="14"/>
        <v>Income: 1</v>
      </c>
      <c r="D341" s="231">
        <v>45071</v>
      </c>
      <c r="E341" s="29" t="s">
        <v>51</v>
      </c>
      <c r="F341" s="36">
        <v>3050</v>
      </c>
      <c r="G341" s="36"/>
      <c r="H341" s="107">
        <f t="shared" si="11"/>
        <v>0</v>
      </c>
    </row>
    <row r="342" spans="1:8" ht="12.75" customHeight="1" x14ac:dyDescent="0.2">
      <c r="A342" s="102">
        <f t="shared" si="15"/>
        <v>6</v>
      </c>
      <c r="B342" s="102">
        <f t="shared" si="16"/>
        <v>2023</v>
      </c>
      <c r="C342" s="102" t="str">
        <f t="shared" si="14"/>
        <v>Rent: 1</v>
      </c>
      <c r="D342" s="120" t="str">
        <f>MOD(MONTH(D341), 12)+1 &amp; "/15/" &amp; IF(MONTH(D341)&gt;=12, YEAR(D341)+1, YEAR(D341))</f>
        <v>6/15/2023</v>
      </c>
      <c r="E342" s="121" t="str">
        <f>"Rent: "&amp;LOOKUP(A342-1, Months, TextMonths)&amp;" '"&amp;B342</f>
        <v>Rent: Jun '2023</v>
      </c>
      <c r="F342" s="36"/>
      <c r="G342" s="36">
        <v>3025</v>
      </c>
      <c r="H342" s="107">
        <f t="shared" si="11"/>
        <v>3025</v>
      </c>
    </row>
    <row r="343" spans="1:8" ht="12.75" customHeight="1" x14ac:dyDescent="0.2">
      <c r="A343" s="102">
        <f t="shared" si="15"/>
        <v>6</v>
      </c>
      <c r="B343" s="102">
        <f t="shared" si="16"/>
        <v>2023</v>
      </c>
      <c r="C343" s="102" t="str">
        <f t="shared" si="14"/>
        <v>Income: 1</v>
      </c>
      <c r="D343" s="231">
        <v>45104</v>
      </c>
      <c r="E343" s="29" t="s">
        <v>51</v>
      </c>
      <c r="F343" s="36">
        <v>3050</v>
      </c>
      <c r="G343" s="36"/>
      <c r="H343" s="107">
        <f t="shared" si="11"/>
        <v>-25</v>
      </c>
    </row>
    <row r="344" spans="1:8" ht="12.75" customHeight="1" x14ac:dyDescent="0.2">
      <c r="A344" s="102">
        <f>MONTH(D343)</f>
        <v>6</v>
      </c>
      <c r="B344" s="102">
        <f>YEAR(D343)</f>
        <v>2023</v>
      </c>
      <c r="C344" s="102" t="str">
        <f t="shared" si="14"/>
        <v/>
      </c>
      <c r="D344" s="120" t="str">
        <f>MONTH(D343)&amp;"/20/"&amp;YEAR(D343)</f>
        <v>6/20/2023</v>
      </c>
      <c r="E344" s="121" t="s">
        <v>52</v>
      </c>
      <c r="F344" s="36"/>
      <c r="G344" s="36">
        <v>25</v>
      </c>
      <c r="H344" s="107">
        <f t="shared" si="11"/>
        <v>0</v>
      </c>
    </row>
    <row r="345" spans="1:8" ht="12.75" customHeight="1" x14ac:dyDescent="0.2">
      <c r="A345" s="102">
        <f>MONTH(D345)</f>
        <v>6</v>
      </c>
      <c r="B345" s="102">
        <f>YEAR(D345)</f>
        <v>2023</v>
      </c>
      <c r="C345" s="102" t="str">
        <f t="shared" si="14"/>
        <v>Rent: 1</v>
      </c>
      <c r="D345" s="120" t="str">
        <f>MOD(MONTH(D344), 12) &amp; "/15/" &amp; IF(MONTH(D344)&gt;=12, YEAR(D344)+1, YEAR(D344))</f>
        <v>6/15/2023</v>
      </c>
      <c r="E345" s="121" t="str">
        <f>"Rent: "&amp;LOOKUP(A345-1, Months, TextMonths)&amp;" '"&amp;B345</f>
        <v>Rent: Jun '2023</v>
      </c>
      <c r="F345" s="36"/>
      <c r="G345" s="36">
        <v>3025</v>
      </c>
      <c r="H345" s="107">
        <f t="shared" si="11"/>
        <v>3025</v>
      </c>
    </row>
    <row r="346" spans="1:8" ht="12.75" customHeight="1" x14ac:dyDescent="0.2">
      <c r="A346" s="102">
        <f>MONTH(D345)</f>
        <v>6</v>
      </c>
      <c r="B346" s="102">
        <f>YEAR(D345)</f>
        <v>2023</v>
      </c>
      <c r="C346" s="102" t="str">
        <f t="shared" si="14"/>
        <v/>
      </c>
      <c r="D346" s="120" t="str">
        <f>MONTH(D345)&amp;"/20/"&amp;YEAR(D345)</f>
        <v>6/20/2023</v>
      </c>
      <c r="E346" s="121" t="s">
        <v>52</v>
      </c>
      <c r="F346" s="36"/>
      <c r="G346" s="36">
        <v>25</v>
      </c>
      <c r="H346" s="107">
        <f t="shared" si="11"/>
        <v>3050</v>
      </c>
    </row>
    <row r="347" spans="1:8" ht="12.75" customHeight="1" x14ac:dyDescent="0.2">
      <c r="A347" s="102">
        <f t="shared" ref="A347:A348" si="17">MONTH(D347)</f>
        <v>6</v>
      </c>
      <c r="B347" s="102">
        <f t="shared" ref="B347:B348" si="18">YEAR(D347)</f>
        <v>2023</v>
      </c>
      <c r="C347" s="102" t="str">
        <f t="shared" si="14"/>
        <v>Income: 1</v>
      </c>
      <c r="D347" s="231">
        <v>45104</v>
      </c>
      <c r="E347" s="29" t="s">
        <v>51</v>
      </c>
      <c r="F347" s="36">
        <v>3050</v>
      </c>
      <c r="G347" s="36"/>
      <c r="H347" s="107">
        <f t="shared" si="11"/>
        <v>0</v>
      </c>
    </row>
    <row r="348" spans="1:8" ht="12.75" customHeight="1" x14ac:dyDescent="0.2">
      <c r="A348" s="102">
        <f t="shared" si="17"/>
        <v>7</v>
      </c>
      <c r="B348" s="102">
        <f t="shared" si="18"/>
        <v>2023</v>
      </c>
      <c r="C348" s="102" t="str">
        <f t="shared" si="14"/>
        <v>Rent: 1</v>
      </c>
      <c r="D348" s="120" t="str">
        <f>MOD(MONTH(D347)+1, 12) &amp; "/15/" &amp; IF(MONTH(D347)&gt;=12, YEAR(D347)+1, YEAR(D347))</f>
        <v>7/15/2023</v>
      </c>
      <c r="E348" s="121" t="str">
        <f>"Rent: "&amp;LOOKUP(A348-1, Months, TextMonths)&amp;" '"&amp;B348</f>
        <v>Rent: Jul '2023</v>
      </c>
      <c r="F348" s="36"/>
      <c r="G348" s="36">
        <v>3025</v>
      </c>
      <c r="H348" s="107">
        <f t="shared" si="11"/>
        <v>3025</v>
      </c>
    </row>
    <row r="349" spans="1:8" ht="12.75" customHeight="1" x14ac:dyDescent="0.2">
      <c r="A349" s="102">
        <f>MONTH(D348)</f>
        <v>7</v>
      </c>
      <c r="B349" s="102">
        <f>YEAR(D348)</f>
        <v>2023</v>
      </c>
      <c r="C349" s="102" t="str">
        <f t="shared" si="14"/>
        <v/>
      </c>
      <c r="D349" s="120" t="str">
        <f>MONTH(D348)&amp;"/20/"&amp;YEAR(D348)</f>
        <v>7/20/2023</v>
      </c>
      <c r="E349" s="121" t="s">
        <v>52</v>
      </c>
      <c r="F349" s="36"/>
      <c r="G349" s="36">
        <v>25</v>
      </c>
      <c r="H349" s="107">
        <f t="shared" si="11"/>
        <v>3050</v>
      </c>
    </row>
    <row r="350" spans="1:8" ht="12.75" customHeight="1" x14ac:dyDescent="0.2">
      <c r="A350" s="102">
        <f>MONTH(D350)</f>
        <v>7</v>
      </c>
      <c r="B350" s="102">
        <f>YEAR(D350)</f>
        <v>2023</v>
      </c>
      <c r="C350" s="102" t="str">
        <f t="shared" si="14"/>
        <v>Income: 1</v>
      </c>
      <c r="D350" s="231">
        <v>45132</v>
      </c>
      <c r="E350" s="29" t="s">
        <v>51</v>
      </c>
      <c r="F350" s="36">
        <v>3050</v>
      </c>
      <c r="G350" s="36"/>
      <c r="H350" s="107">
        <f t="shared" si="11"/>
        <v>0</v>
      </c>
    </row>
    <row r="351" spans="1:8" ht="12.75" customHeight="1" x14ac:dyDescent="0.2">
      <c r="A351" s="102">
        <f t="shared" ref="A351" si="19">MONTH(D351)</f>
        <v>8</v>
      </c>
      <c r="B351" s="102">
        <f t="shared" ref="B351" si="20">YEAR(D351)</f>
        <v>2023</v>
      </c>
      <c r="C351" s="102" t="str">
        <f t="shared" si="14"/>
        <v>Rent: 1</v>
      </c>
      <c r="D351" s="120" t="str">
        <f>MOD(MONTH(D350)+1, 12) &amp; "/15/" &amp; IF(MONTH(D350)&gt;=12, YEAR(D350)+1, YEAR(D350))</f>
        <v>8/15/2023</v>
      </c>
      <c r="E351" s="121" t="str">
        <f>"Rent: "&amp;LOOKUP(A351-1, Months, TextMonths)&amp;" '"&amp;B351</f>
        <v>Rent: Aug '2023</v>
      </c>
      <c r="F351" s="36"/>
      <c r="G351" s="36">
        <v>3025</v>
      </c>
      <c r="H351" s="107">
        <f t="shared" si="11"/>
        <v>3025</v>
      </c>
    </row>
    <row r="352" spans="1:8" ht="12.75" customHeight="1" x14ac:dyDescent="0.2">
      <c r="A352" s="102">
        <f>MONTH(D352)</f>
        <v>8</v>
      </c>
      <c r="B352" s="102">
        <f>YEAR(D352)</f>
        <v>2023</v>
      </c>
      <c r="C352" s="102" t="str">
        <f t="shared" si="14"/>
        <v>Income: 1</v>
      </c>
      <c r="D352" s="231">
        <v>45161</v>
      </c>
      <c r="E352" s="29" t="s">
        <v>51</v>
      </c>
      <c r="F352" s="36">
        <v>3025</v>
      </c>
      <c r="G352" s="36"/>
      <c r="H352" s="107">
        <f t="shared" si="11"/>
        <v>0</v>
      </c>
    </row>
    <row r="353" spans="1:8" ht="12.75" customHeight="1" x14ac:dyDescent="0.2">
      <c r="A353" s="102">
        <f t="shared" ref="A353" si="21">MONTH(D353)</f>
        <v>9</v>
      </c>
      <c r="B353" s="102">
        <f t="shared" ref="B353" si="22">YEAR(D353)</f>
        <v>2023</v>
      </c>
      <c r="C353" s="102" t="str">
        <f t="shared" si="14"/>
        <v>Rent: 1</v>
      </c>
      <c r="D353" s="120" t="str">
        <f>MOD(MONTH(D352)+1, 12) &amp; "/15/" &amp; IF(MONTH(D352)&gt;=12, YEAR(D352)+1, YEAR(D352))</f>
        <v>9/15/2023</v>
      </c>
      <c r="E353" s="121" t="str">
        <f>"Rent: "&amp;LOOKUP(A353-1, Months, TextMonths)&amp;" '"&amp;B353</f>
        <v>Rent: Sep '2023</v>
      </c>
      <c r="F353" s="36"/>
      <c r="G353" s="36">
        <v>3025</v>
      </c>
      <c r="H353" s="107">
        <f t="shared" si="11"/>
        <v>3025</v>
      </c>
    </row>
    <row r="354" spans="1:8" ht="12.75" customHeight="1" x14ac:dyDescent="0.2">
      <c r="A354" s="102">
        <f>MONTH(D354)</f>
        <v>9</v>
      </c>
      <c r="B354" s="102">
        <f>YEAR(D354)</f>
        <v>2023</v>
      </c>
      <c r="C354" s="102" t="str">
        <f t="shared" si="14"/>
        <v>Income: 1</v>
      </c>
      <c r="D354" s="231">
        <v>45188</v>
      </c>
      <c r="E354" s="29" t="s">
        <v>51</v>
      </c>
      <c r="F354" s="36">
        <v>3025</v>
      </c>
      <c r="G354" s="36"/>
      <c r="H354" s="107">
        <f t="shared" si="11"/>
        <v>0</v>
      </c>
    </row>
    <row r="355" spans="1:8" ht="12.75" customHeight="1" x14ac:dyDescent="0.2">
      <c r="A355" s="102">
        <f t="shared" ref="A355" si="23">MONTH(D355)</f>
        <v>10</v>
      </c>
      <c r="B355" s="102">
        <f t="shared" ref="B355" si="24">YEAR(D355)</f>
        <v>2023</v>
      </c>
      <c r="C355" s="102" t="str">
        <f t="shared" si="14"/>
        <v>Rent: 1</v>
      </c>
      <c r="D355" s="120" t="str">
        <f>MOD(MONTH(D354)+1, 12) &amp; "/15/" &amp; IF(MONTH(D354)&gt;=12, YEAR(D354)+1, YEAR(D354))</f>
        <v>10/15/2023</v>
      </c>
      <c r="E355" s="121" t="str">
        <f>"Rent: "&amp;LOOKUP(A355-1, Months, TextMonths)&amp;" '"&amp;B355</f>
        <v>Rent: Oct '2023</v>
      </c>
      <c r="F355" s="36"/>
      <c r="G355" s="36">
        <v>3025</v>
      </c>
      <c r="H355" s="107">
        <f t="shared" si="11"/>
        <v>3025</v>
      </c>
    </row>
    <row r="356" spans="1:8" ht="12.75" customHeight="1" x14ac:dyDescent="0.2">
      <c r="A356" s="102">
        <f>MONTH(D356)</f>
        <v>10</v>
      </c>
      <c r="B356" s="102">
        <f>YEAR(D356)</f>
        <v>2023</v>
      </c>
      <c r="C356" s="102" t="str">
        <f t="shared" si="14"/>
        <v>Income: 1</v>
      </c>
      <c r="D356" s="231">
        <v>45218</v>
      </c>
      <c r="E356" s="29" t="s">
        <v>51</v>
      </c>
      <c r="F356" s="36">
        <v>3025</v>
      </c>
      <c r="G356" s="36"/>
      <c r="H356" s="107">
        <f t="shared" si="11"/>
        <v>0</v>
      </c>
    </row>
    <row r="357" spans="1:8" ht="12.75" customHeight="1" x14ac:dyDescent="0.2">
      <c r="F357" s="175"/>
      <c r="G357" s="175"/>
      <c r="H357" s="175"/>
    </row>
    <row r="358" spans="1:8" ht="12.75" customHeight="1" x14ac:dyDescent="0.2">
      <c r="F358" s="175"/>
      <c r="G358" s="175"/>
      <c r="H358" s="175"/>
    </row>
    <row r="359" spans="1:8" ht="12.75" customHeight="1" x14ac:dyDescent="0.2">
      <c r="F359" s="175"/>
      <c r="G359" s="175"/>
      <c r="H359" s="175"/>
    </row>
    <row r="360" spans="1:8" ht="12.75" customHeight="1" x14ac:dyDescent="0.2">
      <c r="F360" s="175"/>
      <c r="G360" s="175"/>
      <c r="H360" s="175"/>
    </row>
    <row r="361" spans="1:8" ht="12.75" customHeight="1" x14ac:dyDescent="0.2">
      <c r="F361" s="175"/>
      <c r="G361" s="175"/>
      <c r="H361" s="175"/>
    </row>
    <row r="362" spans="1:8" ht="12.75" customHeight="1" x14ac:dyDescent="0.2">
      <c r="F362" s="175"/>
      <c r="G362" s="175"/>
      <c r="H362" s="175"/>
    </row>
    <row r="363" spans="1:8" ht="12.75" customHeight="1" x14ac:dyDescent="0.2">
      <c r="F363" s="175"/>
      <c r="G363" s="175"/>
      <c r="H363" s="175"/>
    </row>
    <row r="364" spans="1:8" ht="12.75" customHeight="1" x14ac:dyDescent="0.2">
      <c r="F364" s="175"/>
      <c r="G364" s="175"/>
      <c r="H364" s="175"/>
    </row>
    <row r="365" spans="1:8" ht="12.75" customHeight="1" x14ac:dyDescent="0.2">
      <c r="F365" s="175"/>
      <c r="G365" s="175"/>
      <c r="H365" s="175"/>
    </row>
    <row r="366" spans="1:8" ht="12.75" customHeight="1" x14ac:dyDescent="0.2">
      <c r="F366" s="175"/>
      <c r="G366" s="175"/>
      <c r="H366" s="175"/>
    </row>
    <row r="367" spans="1:8" ht="12.75" customHeight="1" x14ac:dyDescent="0.2">
      <c r="F367" s="175"/>
      <c r="G367" s="175"/>
      <c r="H367" s="175"/>
    </row>
    <row r="368" spans="1:8" ht="12.75" customHeight="1" x14ac:dyDescent="0.2">
      <c r="F368" s="175"/>
      <c r="G368" s="175"/>
      <c r="H368" s="175"/>
    </row>
    <row r="369" spans="6:8" ht="12.75" customHeight="1" x14ac:dyDescent="0.2">
      <c r="F369" s="175"/>
      <c r="G369" s="175"/>
      <c r="H369" s="175"/>
    </row>
    <row r="370" spans="6:8" ht="12.75" customHeight="1" x14ac:dyDescent="0.2">
      <c r="F370" s="175"/>
      <c r="G370" s="175"/>
      <c r="H370" s="175"/>
    </row>
    <row r="371" spans="6:8" ht="12.75" customHeight="1" x14ac:dyDescent="0.2">
      <c r="F371" s="175"/>
      <c r="G371" s="175"/>
      <c r="H371" s="175"/>
    </row>
    <row r="372" spans="6:8" ht="12.75" customHeight="1" x14ac:dyDescent="0.2">
      <c r="F372" s="175"/>
      <c r="G372" s="175"/>
      <c r="H372" s="175"/>
    </row>
    <row r="373" spans="6:8" ht="12.75" customHeight="1" x14ac:dyDescent="0.2">
      <c r="F373" s="175"/>
      <c r="G373" s="175"/>
      <c r="H373" s="175"/>
    </row>
    <row r="374" spans="6:8" ht="12.75" customHeight="1" x14ac:dyDescent="0.2">
      <c r="F374" s="175"/>
      <c r="G374" s="175"/>
      <c r="H374" s="175"/>
    </row>
    <row r="375" spans="6:8" ht="12.75" customHeight="1" x14ac:dyDescent="0.2">
      <c r="F375" s="175"/>
      <c r="G375" s="175"/>
      <c r="H375" s="175"/>
    </row>
    <row r="376" spans="6:8" ht="12.75" customHeight="1" x14ac:dyDescent="0.2">
      <c r="F376" s="175"/>
      <c r="G376" s="175"/>
      <c r="H376" s="175"/>
    </row>
    <row r="377" spans="6:8" ht="12.75" customHeight="1" x14ac:dyDescent="0.2">
      <c r="F377" s="175"/>
      <c r="G377" s="175"/>
      <c r="H377" s="175"/>
    </row>
    <row r="378" spans="6:8" ht="12.75" customHeight="1" x14ac:dyDescent="0.2">
      <c r="F378" s="175"/>
      <c r="G378" s="175"/>
      <c r="H378" s="175"/>
    </row>
    <row r="379" spans="6:8" ht="12.75" customHeight="1" x14ac:dyDescent="0.2">
      <c r="F379" s="175"/>
      <c r="G379" s="175"/>
      <c r="H379" s="175"/>
    </row>
    <row r="380" spans="6:8" ht="12.75" customHeight="1" x14ac:dyDescent="0.2">
      <c r="F380" s="175"/>
      <c r="G380" s="175"/>
      <c r="H380" s="175"/>
    </row>
    <row r="381" spans="6:8" ht="12.75" customHeight="1" x14ac:dyDescent="0.2">
      <c r="F381" s="175"/>
      <c r="G381" s="175"/>
      <c r="H381" s="175"/>
    </row>
    <row r="382" spans="6:8" ht="12.75" customHeight="1" x14ac:dyDescent="0.2">
      <c r="F382" s="175"/>
      <c r="G382" s="175"/>
      <c r="H382" s="175"/>
    </row>
    <row r="383" spans="6:8" ht="12.75" customHeight="1" x14ac:dyDescent="0.2">
      <c r="F383" s="175"/>
      <c r="G383" s="175"/>
      <c r="H383" s="175"/>
    </row>
    <row r="384" spans="6:8" ht="12.75" customHeight="1" x14ac:dyDescent="0.2">
      <c r="F384" s="175"/>
      <c r="G384" s="175"/>
      <c r="H384" s="175"/>
    </row>
    <row r="385" spans="6:8" ht="12.75" customHeight="1" x14ac:dyDescent="0.2">
      <c r="F385" s="175"/>
      <c r="G385" s="175"/>
      <c r="H385" s="175"/>
    </row>
    <row r="386" spans="6:8" ht="12.75" customHeight="1" x14ac:dyDescent="0.2">
      <c r="F386" s="175"/>
      <c r="G386" s="175"/>
      <c r="H386" s="175"/>
    </row>
    <row r="387" spans="6:8" ht="12.75" customHeight="1" x14ac:dyDescent="0.2">
      <c r="F387" s="175"/>
      <c r="G387" s="175"/>
      <c r="H387" s="175"/>
    </row>
    <row r="388" spans="6:8" ht="12.75" customHeight="1" x14ac:dyDescent="0.2">
      <c r="F388" s="175"/>
      <c r="G388" s="175"/>
      <c r="H388" s="175"/>
    </row>
    <row r="389" spans="6:8" ht="12.75" customHeight="1" x14ac:dyDescent="0.2">
      <c r="F389" s="175"/>
      <c r="G389" s="175"/>
      <c r="H389" s="175"/>
    </row>
    <row r="390" spans="6:8" ht="12.75" customHeight="1" x14ac:dyDescent="0.2">
      <c r="F390" s="175"/>
      <c r="G390" s="175"/>
      <c r="H390" s="175"/>
    </row>
    <row r="391" spans="6:8" ht="12.75" customHeight="1" x14ac:dyDescent="0.2">
      <c r="F391" s="175"/>
      <c r="G391" s="175"/>
      <c r="H391" s="175"/>
    </row>
    <row r="392" spans="6:8" ht="12.75" customHeight="1" x14ac:dyDescent="0.2">
      <c r="F392" s="175"/>
      <c r="G392" s="175"/>
      <c r="H392" s="175"/>
    </row>
    <row r="393" spans="6:8" ht="12.75" customHeight="1" x14ac:dyDescent="0.2">
      <c r="F393" s="175"/>
      <c r="G393" s="175"/>
      <c r="H393" s="175"/>
    </row>
    <row r="394" spans="6:8" ht="12.75" customHeight="1" x14ac:dyDescent="0.2">
      <c r="F394" s="175"/>
      <c r="G394" s="175"/>
      <c r="H394" s="175"/>
    </row>
    <row r="395" spans="6:8" ht="12.75" customHeight="1" x14ac:dyDescent="0.2">
      <c r="F395" s="175"/>
      <c r="G395" s="175"/>
      <c r="H395" s="175"/>
    </row>
    <row r="396" spans="6:8" ht="12.75" customHeight="1" x14ac:dyDescent="0.2">
      <c r="F396" s="175"/>
      <c r="G396" s="175"/>
      <c r="H396" s="175"/>
    </row>
    <row r="397" spans="6:8" ht="12.75" customHeight="1" x14ac:dyDescent="0.2">
      <c r="F397" s="175"/>
      <c r="G397" s="175"/>
      <c r="H397" s="175"/>
    </row>
    <row r="398" spans="6:8" ht="12.75" customHeight="1" x14ac:dyDescent="0.2">
      <c r="F398" s="175"/>
      <c r="G398" s="175"/>
      <c r="H398" s="175"/>
    </row>
    <row r="399" spans="6:8" ht="12.75" customHeight="1" x14ac:dyDescent="0.2">
      <c r="F399" s="175"/>
      <c r="G399" s="175"/>
      <c r="H399" s="175"/>
    </row>
    <row r="400" spans="6:8" ht="12.75" customHeight="1" x14ac:dyDescent="0.2">
      <c r="F400" s="175"/>
      <c r="G400" s="175"/>
      <c r="H400" s="175"/>
    </row>
    <row r="401" spans="6:8" ht="12.75" customHeight="1" x14ac:dyDescent="0.2">
      <c r="F401" s="175"/>
      <c r="G401" s="175"/>
      <c r="H401" s="175"/>
    </row>
    <row r="402" spans="6:8" ht="12.75" customHeight="1" x14ac:dyDescent="0.2">
      <c r="F402" s="175"/>
      <c r="G402" s="175"/>
      <c r="H402" s="175"/>
    </row>
    <row r="403" spans="6:8" ht="12.75" customHeight="1" x14ac:dyDescent="0.2">
      <c r="F403" s="175"/>
      <c r="G403" s="175"/>
      <c r="H403" s="175"/>
    </row>
    <row r="404" spans="6:8" ht="12.75" customHeight="1" x14ac:dyDescent="0.2">
      <c r="F404" s="175"/>
      <c r="G404" s="175"/>
      <c r="H404" s="175"/>
    </row>
    <row r="405" spans="6:8" ht="12.75" customHeight="1" x14ac:dyDescent="0.2">
      <c r="F405" s="175"/>
      <c r="G405" s="175"/>
      <c r="H405" s="175"/>
    </row>
    <row r="406" spans="6:8" ht="12.75" customHeight="1" x14ac:dyDescent="0.2">
      <c r="F406" s="175"/>
      <c r="G406" s="175"/>
      <c r="H406" s="175"/>
    </row>
    <row r="407" spans="6:8" ht="12.75" customHeight="1" x14ac:dyDescent="0.2">
      <c r="F407" s="175"/>
      <c r="G407" s="175"/>
      <c r="H407" s="175"/>
    </row>
    <row r="408" spans="6:8" ht="12.75" customHeight="1" x14ac:dyDescent="0.2">
      <c r="F408" s="175"/>
      <c r="G408" s="175"/>
      <c r="H408" s="175"/>
    </row>
    <row r="409" spans="6:8" ht="12.75" customHeight="1" x14ac:dyDescent="0.2">
      <c r="F409" s="175"/>
      <c r="G409" s="175"/>
      <c r="H409" s="175"/>
    </row>
    <row r="410" spans="6:8" ht="12.75" customHeight="1" x14ac:dyDescent="0.2">
      <c r="F410" s="175"/>
      <c r="G410" s="175"/>
      <c r="H410" s="175"/>
    </row>
    <row r="411" spans="6:8" ht="12.75" customHeight="1" x14ac:dyDescent="0.2">
      <c r="F411" s="175"/>
      <c r="G411" s="175"/>
      <c r="H411" s="175"/>
    </row>
    <row r="412" spans="6:8" ht="12.75" customHeight="1" x14ac:dyDescent="0.2">
      <c r="F412" s="175"/>
      <c r="G412" s="175"/>
      <c r="H412" s="175"/>
    </row>
    <row r="413" spans="6:8" ht="12.75" customHeight="1" x14ac:dyDescent="0.2">
      <c r="F413" s="175"/>
      <c r="G413" s="175"/>
      <c r="H413" s="175"/>
    </row>
    <row r="414" spans="6:8" ht="12.75" customHeight="1" x14ac:dyDescent="0.2">
      <c r="F414" s="175"/>
      <c r="G414" s="175"/>
      <c r="H414" s="175"/>
    </row>
    <row r="415" spans="6:8" ht="12.75" customHeight="1" x14ac:dyDescent="0.2">
      <c r="F415" s="175"/>
      <c r="G415" s="175"/>
      <c r="H415" s="175"/>
    </row>
    <row r="416" spans="6:8" ht="12.75" customHeight="1" x14ac:dyDescent="0.2">
      <c r="F416" s="175"/>
      <c r="G416" s="175"/>
      <c r="H416" s="175"/>
    </row>
    <row r="417" spans="6:8" ht="12.75" customHeight="1" x14ac:dyDescent="0.2">
      <c r="F417" s="175"/>
      <c r="G417" s="175"/>
      <c r="H417" s="175"/>
    </row>
    <row r="418" spans="6:8" ht="12.75" customHeight="1" x14ac:dyDescent="0.2">
      <c r="F418" s="175"/>
      <c r="G418" s="175"/>
      <c r="H418" s="175"/>
    </row>
    <row r="419" spans="6:8" ht="12.75" customHeight="1" x14ac:dyDescent="0.2">
      <c r="F419" s="175"/>
      <c r="G419" s="175"/>
      <c r="H419" s="175"/>
    </row>
    <row r="420" spans="6:8" ht="12.75" customHeight="1" x14ac:dyDescent="0.2">
      <c r="F420" s="175"/>
      <c r="G420" s="175"/>
      <c r="H420" s="175"/>
    </row>
    <row r="421" spans="6:8" ht="12.75" customHeight="1" x14ac:dyDescent="0.2">
      <c r="F421" s="175"/>
      <c r="G421" s="175"/>
      <c r="H421" s="175"/>
    </row>
    <row r="422" spans="6:8" ht="12.75" customHeight="1" x14ac:dyDescent="0.2">
      <c r="F422" s="175"/>
      <c r="G422" s="175"/>
      <c r="H422" s="175"/>
    </row>
    <row r="423" spans="6:8" ht="12.75" customHeight="1" x14ac:dyDescent="0.2">
      <c r="F423" s="175"/>
      <c r="G423" s="175"/>
      <c r="H423" s="175"/>
    </row>
    <row r="424" spans="6:8" ht="12.75" customHeight="1" x14ac:dyDescent="0.2">
      <c r="F424" s="175"/>
      <c r="G424" s="175"/>
      <c r="H424" s="175"/>
    </row>
    <row r="425" spans="6:8" ht="12.75" customHeight="1" x14ac:dyDescent="0.2">
      <c r="F425" s="175"/>
      <c r="G425" s="175"/>
      <c r="H425" s="175"/>
    </row>
    <row r="426" spans="6:8" ht="12.75" customHeight="1" x14ac:dyDescent="0.2">
      <c r="F426" s="175"/>
      <c r="G426" s="175"/>
      <c r="H426" s="175"/>
    </row>
    <row r="427" spans="6:8" ht="12.75" customHeight="1" x14ac:dyDescent="0.2">
      <c r="F427" s="175"/>
      <c r="G427" s="175"/>
      <c r="H427" s="175"/>
    </row>
    <row r="428" spans="6:8" ht="12.75" customHeight="1" x14ac:dyDescent="0.2">
      <c r="F428" s="175"/>
      <c r="G428" s="175"/>
      <c r="H428" s="175"/>
    </row>
    <row r="429" spans="6:8" ht="12.75" customHeight="1" x14ac:dyDescent="0.2">
      <c r="F429" s="175"/>
      <c r="G429" s="175"/>
      <c r="H429" s="175"/>
    </row>
    <row r="430" spans="6:8" ht="12.75" customHeight="1" x14ac:dyDescent="0.2">
      <c r="F430" s="175"/>
      <c r="G430" s="175"/>
      <c r="H430" s="175"/>
    </row>
    <row r="431" spans="6:8" ht="12.75" customHeight="1" x14ac:dyDescent="0.2">
      <c r="F431" s="175"/>
      <c r="G431" s="175"/>
      <c r="H431" s="175"/>
    </row>
    <row r="432" spans="6:8" ht="12.75" customHeight="1" x14ac:dyDescent="0.2">
      <c r="F432" s="175"/>
      <c r="G432" s="175"/>
      <c r="H432" s="175"/>
    </row>
    <row r="433" spans="6:8" ht="12.75" customHeight="1" x14ac:dyDescent="0.2">
      <c r="F433" s="175"/>
      <c r="G433" s="175"/>
      <c r="H433" s="175"/>
    </row>
    <row r="434" spans="6:8" ht="12.75" customHeight="1" x14ac:dyDescent="0.2">
      <c r="F434" s="175"/>
      <c r="G434" s="175"/>
      <c r="H434" s="175"/>
    </row>
    <row r="435" spans="6:8" ht="12.75" customHeight="1" x14ac:dyDescent="0.2">
      <c r="F435" s="175"/>
      <c r="G435" s="175"/>
      <c r="H435" s="175"/>
    </row>
    <row r="436" spans="6:8" ht="12.75" customHeight="1" x14ac:dyDescent="0.2">
      <c r="F436" s="175"/>
      <c r="G436" s="175"/>
      <c r="H436" s="175"/>
    </row>
    <row r="437" spans="6:8" ht="12.75" customHeight="1" x14ac:dyDescent="0.2">
      <c r="F437" s="175"/>
      <c r="G437" s="175"/>
      <c r="H437" s="175"/>
    </row>
    <row r="438" spans="6:8" ht="12.75" customHeight="1" x14ac:dyDescent="0.2">
      <c r="F438" s="175"/>
      <c r="G438" s="175"/>
      <c r="H438" s="175"/>
    </row>
    <row r="439" spans="6:8" ht="12.75" customHeight="1" x14ac:dyDescent="0.2">
      <c r="F439" s="175"/>
      <c r="G439" s="175"/>
      <c r="H439" s="175"/>
    </row>
    <row r="440" spans="6:8" ht="12.75" customHeight="1" x14ac:dyDescent="0.2">
      <c r="F440" s="175"/>
      <c r="G440" s="175"/>
      <c r="H440" s="175"/>
    </row>
    <row r="441" spans="6:8" ht="12.75" customHeight="1" x14ac:dyDescent="0.2">
      <c r="F441" s="175"/>
      <c r="G441" s="175"/>
      <c r="H441" s="175"/>
    </row>
    <row r="442" spans="6:8" ht="12.75" customHeight="1" x14ac:dyDescent="0.2">
      <c r="F442" s="175"/>
      <c r="G442" s="175"/>
      <c r="H442" s="175"/>
    </row>
    <row r="443" spans="6:8" ht="12.75" customHeight="1" x14ac:dyDescent="0.2">
      <c r="F443" s="175"/>
      <c r="G443" s="175"/>
      <c r="H443" s="175"/>
    </row>
    <row r="444" spans="6:8" ht="12.75" customHeight="1" x14ac:dyDescent="0.2">
      <c r="F444" s="175"/>
      <c r="G444" s="175"/>
      <c r="H444" s="175"/>
    </row>
    <row r="445" spans="6:8" ht="12.75" customHeight="1" x14ac:dyDescent="0.2">
      <c r="F445" s="175"/>
      <c r="G445" s="175"/>
      <c r="H445" s="175"/>
    </row>
    <row r="446" spans="6:8" ht="12.75" customHeight="1" x14ac:dyDescent="0.2">
      <c r="F446" s="175"/>
      <c r="G446" s="175"/>
      <c r="H446" s="175"/>
    </row>
    <row r="447" spans="6:8" ht="12.75" customHeight="1" x14ac:dyDescent="0.2">
      <c r="F447" s="175"/>
      <c r="G447" s="175"/>
      <c r="H447" s="175"/>
    </row>
    <row r="448" spans="6:8" ht="12.75" customHeight="1" x14ac:dyDescent="0.2">
      <c r="F448" s="175"/>
      <c r="G448" s="175"/>
      <c r="H448" s="175"/>
    </row>
    <row r="449" spans="6:8" ht="12.75" customHeight="1" x14ac:dyDescent="0.2">
      <c r="F449" s="175"/>
      <c r="G449" s="175"/>
      <c r="H449" s="175"/>
    </row>
    <row r="450" spans="6:8" ht="12.75" customHeight="1" x14ac:dyDescent="0.2">
      <c r="F450" s="175"/>
      <c r="G450" s="175"/>
      <c r="H450" s="175"/>
    </row>
    <row r="451" spans="6:8" ht="12.75" customHeight="1" x14ac:dyDescent="0.2">
      <c r="F451" s="175"/>
      <c r="G451" s="175"/>
      <c r="H451" s="175"/>
    </row>
    <row r="452" spans="6:8" ht="12.75" customHeight="1" x14ac:dyDescent="0.2">
      <c r="F452" s="175"/>
      <c r="G452" s="175"/>
      <c r="H452" s="175"/>
    </row>
    <row r="453" spans="6:8" ht="12.75" customHeight="1" x14ac:dyDescent="0.2">
      <c r="F453" s="175"/>
      <c r="G453" s="175"/>
      <c r="H453" s="175"/>
    </row>
    <row r="454" spans="6:8" ht="12.75" customHeight="1" x14ac:dyDescent="0.2">
      <c r="F454" s="175"/>
      <c r="G454" s="175"/>
      <c r="H454" s="175"/>
    </row>
    <row r="455" spans="6:8" ht="12.75" customHeight="1" x14ac:dyDescent="0.2">
      <c r="F455" s="175"/>
      <c r="G455" s="175"/>
      <c r="H455" s="175"/>
    </row>
    <row r="456" spans="6:8" ht="12.75" customHeight="1" x14ac:dyDescent="0.2">
      <c r="F456" s="175"/>
      <c r="G456" s="175"/>
      <c r="H456" s="175"/>
    </row>
    <row r="457" spans="6:8" ht="12.75" customHeight="1" x14ac:dyDescent="0.2">
      <c r="F457" s="175"/>
      <c r="G457" s="175"/>
      <c r="H457" s="175"/>
    </row>
    <row r="458" spans="6:8" ht="12.75" customHeight="1" x14ac:dyDescent="0.2">
      <c r="F458" s="175"/>
      <c r="G458" s="175"/>
      <c r="H458" s="175"/>
    </row>
    <row r="459" spans="6:8" ht="12.75" customHeight="1" x14ac:dyDescent="0.2">
      <c r="F459" s="175"/>
      <c r="G459" s="175"/>
      <c r="H459" s="175"/>
    </row>
    <row r="460" spans="6:8" ht="12.75" customHeight="1" x14ac:dyDescent="0.2">
      <c r="F460" s="175"/>
      <c r="G460" s="175"/>
      <c r="H460" s="175"/>
    </row>
    <row r="461" spans="6:8" ht="12.75" customHeight="1" x14ac:dyDescent="0.2">
      <c r="F461" s="175"/>
      <c r="G461" s="175"/>
      <c r="H461" s="175"/>
    </row>
    <row r="462" spans="6:8" ht="12.75" customHeight="1" x14ac:dyDescent="0.2">
      <c r="F462" s="175"/>
      <c r="G462" s="175"/>
      <c r="H462" s="175"/>
    </row>
    <row r="463" spans="6:8" ht="12.75" customHeight="1" x14ac:dyDescent="0.2">
      <c r="F463" s="175"/>
      <c r="G463" s="175"/>
      <c r="H463" s="175"/>
    </row>
    <row r="464" spans="6:8" ht="12.75" customHeight="1" x14ac:dyDescent="0.2">
      <c r="F464" s="175"/>
      <c r="G464" s="175"/>
      <c r="H464" s="175"/>
    </row>
    <row r="465" spans="6:8" ht="12.75" customHeight="1" x14ac:dyDescent="0.2">
      <c r="F465" s="175"/>
      <c r="G465" s="175"/>
      <c r="H465" s="175"/>
    </row>
    <row r="466" spans="6:8" ht="12.75" customHeight="1" x14ac:dyDescent="0.2">
      <c r="F466" s="175"/>
      <c r="G466" s="175"/>
      <c r="H466" s="175"/>
    </row>
    <row r="467" spans="6:8" ht="12.75" customHeight="1" x14ac:dyDescent="0.2">
      <c r="F467" s="175"/>
      <c r="G467" s="175"/>
      <c r="H467" s="175"/>
    </row>
    <row r="468" spans="6:8" ht="12.75" customHeight="1" x14ac:dyDescent="0.2">
      <c r="F468" s="175"/>
      <c r="G468" s="175"/>
      <c r="H468" s="175"/>
    </row>
    <row r="469" spans="6:8" ht="12.75" customHeight="1" x14ac:dyDescent="0.2">
      <c r="F469" s="175"/>
      <c r="G469" s="175"/>
      <c r="H469" s="175"/>
    </row>
    <row r="470" spans="6:8" ht="12.75" customHeight="1" x14ac:dyDescent="0.2">
      <c r="F470" s="175"/>
      <c r="G470" s="175"/>
      <c r="H470" s="175"/>
    </row>
    <row r="471" spans="6:8" ht="12.75" customHeight="1" x14ac:dyDescent="0.2">
      <c r="F471" s="175"/>
      <c r="G471" s="175"/>
      <c r="H471" s="175"/>
    </row>
    <row r="472" spans="6:8" ht="12.75" customHeight="1" x14ac:dyDescent="0.2">
      <c r="F472" s="175"/>
      <c r="G472" s="175"/>
      <c r="H472" s="175"/>
    </row>
    <row r="473" spans="6:8" ht="12.75" customHeight="1" x14ac:dyDescent="0.2">
      <c r="F473" s="175"/>
      <c r="G473" s="175"/>
      <c r="H473" s="175"/>
    </row>
    <row r="474" spans="6:8" ht="12.75" customHeight="1" x14ac:dyDescent="0.2">
      <c r="F474" s="175"/>
      <c r="G474" s="175"/>
      <c r="H474" s="175"/>
    </row>
    <row r="475" spans="6:8" ht="12.75" customHeight="1" x14ac:dyDescent="0.2">
      <c r="F475" s="175"/>
      <c r="G475" s="175"/>
      <c r="H475" s="175"/>
    </row>
    <row r="476" spans="6:8" ht="12.75" customHeight="1" x14ac:dyDescent="0.2">
      <c r="F476" s="175"/>
      <c r="G476" s="175"/>
      <c r="H476" s="175"/>
    </row>
    <row r="477" spans="6:8" ht="12.75" customHeight="1" x14ac:dyDescent="0.2">
      <c r="F477" s="175"/>
      <c r="G477" s="175"/>
      <c r="H477" s="175"/>
    </row>
    <row r="478" spans="6:8" ht="12.75" customHeight="1" x14ac:dyDescent="0.2">
      <c r="F478" s="175"/>
      <c r="G478" s="175"/>
      <c r="H478" s="175"/>
    </row>
    <row r="479" spans="6:8" ht="12.75" customHeight="1" x14ac:dyDescent="0.2">
      <c r="F479" s="175"/>
      <c r="G479" s="175"/>
      <c r="H479" s="175"/>
    </row>
    <row r="480" spans="6:8" ht="12.75" customHeight="1" x14ac:dyDescent="0.2">
      <c r="F480" s="175"/>
      <c r="G480" s="175"/>
      <c r="H480" s="175"/>
    </row>
    <row r="481" spans="6:8" ht="12.75" customHeight="1" x14ac:dyDescent="0.2">
      <c r="F481" s="175"/>
      <c r="G481" s="175"/>
      <c r="H481" s="175"/>
    </row>
    <row r="482" spans="6:8" ht="12.75" customHeight="1" x14ac:dyDescent="0.2">
      <c r="F482" s="175"/>
      <c r="G482" s="175"/>
      <c r="H482" s="175"/>
    </row>
    <row r="483" spans="6:8" ht="12.75" customHeight="1" x14ac:dyDescent="0.2">
      <c r="F483" s="175"/>
      <c r="G483" s="175"/>
      <c r="H483" s="175"/>
    </row>
    <row r="484" spans="6:8" ht="12.75" customHeight="1" x14ac:dyDescent="0.2">
      <c r="F484" s="175"/>
      <c r="G484" s="175"/>
      <c r="H484" s="175"/>
    </row>
    <row r="485" spans="6:8" ht="12.75" customHeight="1" x14ac:dyDescent="0.2">
      <c r="F485" s="175"/>
      <c r="G485" s="175"/>
      <c r="H485" s="175"/>
    </row>
    <row r="486" spans="6:8" ht="12.75" customHeight="1" x14ac:dyDescent="0.2">
      <c r="F486" s="175"/>
      <c r="G486" s="175"/>
      <c r="H486" s="175"/>
    </row>
    <row r="487" spans="6:8" ht="12.75" customHeight="1" x14ac:dyDescent="0.2">
      <c r="F487" s="175"/>
      <c r="G487" s="175"/>
      <c r="H487" s="175"/>
    </row>
    <row r="488" spans="6:8" ht="12.75" customHeight="1" x14ac:dyDescent="0.2">
      <c r="F488" s="175"/>
      <c r="G488" s="175"/>
      <c r="H488" s="175"/>
    </row>
    <row r="489" spans="6:8" ht="12.75" customHeight="1" x14ac:dyDescent="0.2">
      <c r="F489" s="175"/>
      <c r="G489" s="175"/>
      <c r="H489" s="175"/>
    </row>
    <row r="490" spans="6:8" ht="12.75" customHeight="1" x14ac:dyDescent="0.2">
      <c r="F490" s="175"/>
      <c r="G490" s="175"/>
      <c r="H490" s="175"/>
    </row>
    <row r="491" spans="6:8" ht="12.75" customHeight="1" x14ac:dyDescent="0.2">
      <c r="F491" s="175"/>
      <c r="G491" s="175"/>
      <c r="H491" s="175"/>
    </row>
    <row r="492" spans="6:8" ht="12.75" customHeight="1" x14ac:dyDescent="0.2">
      <c r="F492" s="175"/>
      <c r="G492" s="175"/>
      <c r="H492" s="175"/>
    </row>
    <row r="493" spans="6:8" ht="12.75" customHeight="1" x14ac:dyDescent="0.2">
      <c r="F493" s="175"/>
      <c r="G493" s="175"/>
      <c r="H493" s="175"/>
    </row>
    <row r="494" spans="6:8" ht="12.75" customHeight="1" x14ac:dyDescent="0.2">
      <c r="F494" s="175"/>
      <c r="G494" s="175"/>
      <c r="H494" s="175"/>
    </row>
    <row r="495" spans="6:8" ht="12.75" customHeight="1" x14ac:dyDescent="0.2">
      <c r="F495" s="175"/>
      <c r="G495" s="175"/>
      <c r="H495" s="175"/>
    </row>
    <row r="496" spans="6:8" ht="12.75" customHeight="1" x14ac:dyDescent="0.2">
      <c r="F496" s="175"/>
      <c r="G496" s="175"/>
      <c r="H496" s="175"/>
    </row>
    <row r="497" spans="6:8" ht="12.75" customHeight="1" x14ac:dyDescent="0.2">
      <c r="F497" s="175"/>
      <c r="G497" s="175"/>
      <c r="H497" s="175"/>
    </row>
    <row r="498" spans="6:8" ht="12.75" customHeight="1" x14ac:dyDescent="0.2">
      <c r="F498" s="175"/>
      <c r="G498" s="175"/>
      <c r="H498" s="175"/>
    </row>
    <row r="499" spans="6:8" ht="12.75" customHeight="1" x14ac:dyDescent="0.2">
      <c r="F499" s="175"/>
      <c r="G499" s="175"/>
      <c r="H499" s="175"/>
    </row>
    <row r="500" spans="6:8" ht="12.75" customHeight="1" x14ac:dyDescent="0.2">
      <c r="F500" s="175"/>
      <c r="G500" s="175"/>
      <c r="H500" s="175"/>
    </row>
    <row r="501" spans="6:8" ht="12.75" customHeight="1" x14ac:dyDescent="0.2">
      <c r="F501" s="175"/>
      <c r="G501" s="175"/>
      <c r="H501" s="175"/>
    </row>
    <row r="502" spans="6:8" ht="12.75" customHeight="1" x14ac:dyDescent="0.2">
      <c r="F502" s="175"/>
      <c r="G502" s="175"/>
      <c r="H502" s="175"/>
    </row>
    <row r="503" spans="6:8" ht="12.75" customHeight="1" x14ac:dyDescent="0.2">
      <c r="F503" s="175"/>
      <c r="G503" s="175"/>
      <c r="H503" s="175"/>
    </row>
    <row r="504" spans="6:8" ht="12.75" customHeight="1" x14ac:dyDescent="0.2">
      <c r="F504" s="175"/>
      <c r="G504" s="175"/>
      <c r="H504" s="175"/>
    </row>
    <row r="505" spans="6:8" ht="12.75" customHeight="1" x14ac:dyDescent="0.2">
      <c r="F505" s="175"/>
      <c r="G505" s="175"/>
      <c r="H505" s="175"/>
    </row>
    <row r="506" spans="6:8" ht="12.75" customHeight="1" x14ac:dyDescent="0.2">
      <c r="F506" s="175"/>
      <c r="G506" s="175"/>
      <c r="H506" s="175"/>
    </row>
    <row r="507" spans="6:8" ht="12.75" customHeight="1" x14ac:dyDescent="0.2">
      <c r="F507" s="175"/>
      <c r="G507" s="175"/>
      <c r="H507" s="175"/>
    </row>
    <row r="508" spans="6:8" ht="12.75" customHeight="1" x14ac:dyDescent="0.2">
      <c r="F508" s="175"/>
      <c r="G508" s="175"/>
      <c r="H508" s="175"/>
    </row>
    <row r="509" spans="6:8" ht="12.75" customHeight="1" x14ac:dyDescent="0.2">
      <c r="F509" s="175"/>
      <c r="G509" s="175"/>
      <c r="H509" s="175"/>
    </row>
    <row r="510" spans="6:8" ht="12.75" customHeight="1" x14ac:dyDescent="0.2">
      <c r="F510" s="175"/>
      <c r="G510" s="175"/>
      <c r="H510" s="175"/>
    </row>
    <row r="511" spans="6:8" ht="12.75" customHeight="1" x14ac:dyDescent="0.2">
      <c r="F511" s="175"/>
      <c r="G511" s="175"/>
      <c r="H511" s="175"/>
    </row>
    <row r="512" spans="6:8" ht="12.75" customHeight="1" x14ac:dyDescent="0.2">
      <c r="F512" s="175"/>
      <c r="G512" s="175"/>
      <c r="H512" s="175"/>
    </row>
    <row r="513" spans="6:8" ht="12.75" customHeight="1" x14ac:dyDescent="0.2">
      <c r="F513" s="175"/>
      <c r="G513" s="175"/>
      <c r="H513" s="175"/>
    </row>
    <row r="514" spans="6:8" ht="12.75" customHeight="1" x14ac:dyDescent="0.2">
      <c r="F514" s="175"/>
      <c r="G514" s="175"/>
      <c r="H514" s="175"/>
    </row>
    <row r="515" spans="6:8" ht="12.75" customHeight="1" x14ac:dyDescent="0.2">
      <c r="F515" s="175"/>
      <c r="G515" s="175"/>
      <c r="H515" s="175"/>
    </row>
    <row r="516" spans="6:8" ht="12.75" customHeight="1" x14ac:dyDescent="0.2">
      <c r="F516" s="175"/>
      <c r="G516" s="175"/>
      <c r="H516" s="175"/>
    </row>
    <row r="517" spans="6:8" ht="12.75" customHeight="1" x14ac:dyDescent="0.2">
      <c r="F517" s="175"/>
      <c r="G517" s="175"/>
      <c r="H517" s="175"/>
    </row>
    <row r="518" spans="6:8" ht="12.75" customHeight="1" x14ac:dyDescent="0.2">
      <c r="F518" s="175"/>
      <c r="G518" s="175"/>
      <c r="H518" s="175"/>
    </row>
    <row r="519" spans="6:8" ht="12.75" customHeight="1" x14ac:dyDescent="0.2">
      <c r="F519" s="175"/>
      <c r="G519" s="175"/>
      <c r="H519" s="175"/>
    </row>
    <row r="520" spans="6:8" ht="12.75" customHeight="1" x14ac:dyDescent="0.2">
      <c r="F520" s="175"/>
      <c r="G520" s="175"/>
      <c r="H520" s="175"/>
    </row>
    <row r="521" spans="6:8" ht="12.75" customHeight="1" x14ac:dyDescent="0.2">
      <c r="F521" s="175"/>
      <c r="G521" s="175"/>
      <c r="H521" s="175"/>
    </row>
    <row r="522" spans="6:8" ht="12.75" customHeight="1" x14ac:dyDescent="0.2">
      <c r="F522" s="175"/>
      <c r="G522" s="175"/>
      <c r="H522" s="175"/>
    </row>
    <row r="523" spans="6:8" ht="12.75" customHeight="1" x14ac:dyDescent="0.2">
      <c r="F523" s="175"/>
      <c r="G523" s="175"/>
      <c r="H523" s="175"/>
    </row>
    <row r="524" spans="6:8" ht="12.75" customHeight="1" x14ac:dyDescent="0.2">
      <c r="F524" s="175"/>
      <c r="G524" s="175"/>
      <c r="H524" s="175"/>
    </row>
    <row r="525" spans="6:8" ht="12.75" customHeight="1" x14ac:dyDescent="0.2">
      <c r="F525" s="175"/>
      <c r="G525" s="175"/>
      <c r="H525" s="175"/>
    </row>
    <row r="526" spans="6:8" ht="12.75" customHeight="1" x14ac:dyDescent="0.2">
      <c r="F526" s="175"/>
      <c r="G526" s="175"/>
      <c r="H526" s="175"/>
    </row>
    <row r="527" spans="6:8" ht="12.75" customHeight="1" x14ac:dyDescent="0.2">
      <c r="F527" s="175"/>
      <c r="G527" s="175"/>
      <c r="H527" s="175"/>
    </row>
    <row r="528" spans="6:8" ht="12.75" customHeight="1" x14ac:dyDescent="0.2">
      <c r="F528" s="175"/>
      <c r="G528" s="175"/>
      <c r="H528" s="175"/>
    </row>
    <row r="529" spans="6:8" ht="12.75" customHeight="1" x14ac:dyDescent="0.2">
      <c r="F529" s="175"/>
      <c r="G529" s="175"/>
      <c r="H529" s="175"/>
    </row>
    <row r="530" spans="6:8" ht="12.75" customHeight="1" x14ac:dyDescent="0.2">
      <c r="F530" s="175"/>
      <c r="G530" s="175"/>
      <c r="H530" s="175"/>
    </row>
    <row r="531" spans="6:8" ht="12.75" customHeight="1" x14ac:dyDescent="0.2">
      <c r="F531" s="175"/>
      <c r="G531" s="175"/>
      <c r="H531" s="175"/>
    </row>
    <row r="532" spans="6:8" ht="12.75" customHeight="1" x14ac:dyDescent="0.2">
      <c r="F532" s="175"/>
      <c r="G532" s="175"/>
      <c r="H532" s="175"/>
    </row>
    <row r="533" spans="6:8" ht="12.75" customHeight="1" x14ac:dyDescent="0.2">
      <c r="F533" s="175"/>
      <c r="G533" s="175"/>
      <c r="H533" s="175"/>
    </row>
    <row r="534" spans="6:8" ht="12.75" customHeight="1" x14ac:dyDescent="0.2">
      <c r="F534" s="175"/>
      <c r="G534" s="175"/>
      <c r="H534" s="175"/>
    </row>
    <row r="535" spans="6:8" ht="12.75" customHeight="1" x14ac:dyDescent="0.2">
      <c r="F535" s="175"/>
      <c r="G535" s="175"/>
      <c r="H535" s="175"/>
    </row>
    <row r="536" spans="6:8" ht="12.75" customHeight="1" x14ac:dyDescent="0.2">
      <c r="F536" s="175"/>
      <c r="G536" s="175"/>
      <c r="H536" s="175"/>
    </row>
    <row r="537" spans="6:8" ht="12.75" customHeight="1" x14ac:dyDescent="0.2">
      <c r="F537" s="175"/>
      <c r="G537" s="175"/>
      <c r="H537" s="175"/>
    </row>
    <row r="538" spans="6:8" ht="12.75" customHeight="1" x14ac:dyDescent="0.2">
      <c r="F538" s="175"/>
      <c r="G538" s="175"/>
      <c r="H538" s="175"/>
    </row>
    <row r="539" spans="6:8" ht="12.75" customHeight="1" x14ac:dyDescent="0.2">
      <c r="F539" s="175"/>
      <c r="G539" s="175"/>
      <c r="H539" s="175"/>
    </row>
    <row r="540" spans="6:8" ht="12.75" customHeight="1" x14ac:dyDescent="0.2">
      <c r="F540" s="175"/>
      <c r="G540" s="175"/>
      <c r="H540" s="175"/>
    </row>
    <row r="541" spans="6:8" ht="12.75" customHeight="1" x14ac:dyDescent="0.2">
      <c r="F541" s="175"/>
      <c r="G541" s="175"/>
      <c r="H541" s="175"/>
    </row>
    <row r="542" spans="6:8" ht="12.75" customHeight="1" x14ac:dyDescent="0.2">
      <c r="F542" s="175"/>
      <c r="G542" s="175"/>
      <c r="H542" s="175"/>
    </row>
    <row r="543" spans="6:8" ht="12.75" customHeight="1" x14ac:dyDescent="0.2">
      <c r="F543" s="175"/>
      <c r="G543" s="175"/>
      <c r="H543" s="175"/>
    </row>
    <row r="544" spans="6:8" ht="12.75" customHeight="1" x14ac:dyDescent="0.2">
      <c r="F544" s="175"/>
      <c r="G544" s="175"/>
      <c r="H544" s="175"/>
    </row>
    <row r="545" spans="6:8" ht="12.75" customHeight="1" x14ac:dyDescent="0.2">
      <c r="F545" s="175"/>
      <c r="G545" s="175"/>
      <c r="H545" s="175"/>
    </row>
    <row r="546" spans="6:8" ht="12.75" customHeight="1" x14ac:dyDescent="0.2">
      <c r="F546" s="175"/>
      <c r="G546" s="175"/>
      <c r="H546" s="175"/>
    </row>
    <row r="547" spans="6:8" ht="12.75" customHeight="1" x14ac:dyDescent="0.2">
      <c r="F547" s="175"/>
      <c r="G547" s="175"/>
      <c r="H547" s="175"/>
    </row>
    <row r="548" spans="6:8" ht="12.75" customHeight="1" x14ac:dyDescent="0.2">
      <c r="F548" s="175"/>
      <c r="G548" s="175"/>
      <c r="H548" s="175"/>
    </row>
    <row r="549" spans="6:8" ht="12.75" customHeight="1" x14ac:dyDescent="0.2">
      <c r="F549" s="175"/>
      <c r="G549" s="175"/>
      <c r="H549" s="175"/>
    </row>
    <row r="550" spans="6:8" ht="12.75" customHeight="1" x14ac:dyDescent="0.2">
      <c r="F550" s="175"/>
      <c r="G550" s="175"/>
      <c r="H550" s="175"/>
    </row>
    <row r="551" spans="6:8" ht="12.75" customHeight="1" x14ac:dyDescent="0.2">
      <c r="F551" s="175"/>
      <c r="G551" s="175"/>
      <c r="H551" s="175"/>
    </row>
    <row r="552" spans="6:8" ht="12.75" customHeight="1" x14ac:dyDescent="0.2">
      <c r="F552" s="175"/>
      <c r="G552" s="175"/>
      <c r="H552" s="175"/>
    </row>
    <row r="553" spans="6:8" ht="12.75" customHeight="1" x14ac:dyDescent="0.2">
      <c r="F553" s="175"/>
      <c r="G553" s="175"/>
      <c r="H553" s="175"/>
    </row>
    <row r="554" spans="6:8" ht="12.75" customHeight="1" x14ac:dyDescent="0.2">
      <c r="F554" s="175"/>
      <c r="G554" s="175"/>
      <c r="H554" s="175"/>
    </row>
    <row r="555" spans="6:8" ht="12.75" customHeight="1" x14ac:dyDescent="0.2">
      <c r="F555" s="175"/>
      <c r="G555" s="175"/>
      <c r="H555" s="175"/>
    </row>
    <row r="556" spans="6:8" ht="12.75" customHeight="1" x14ac:dyDescent="0.2">
      <c r="F556" s="175"/>
      <c r="G556" s="175"/>
      <c r="H556" s="175"/>
    </row>
    <row r="557" spans="6:8" ht="12.75" customHeight="1" x14ac:dyDescent="0.2">
      <c r="F557" s="175"/>
      <c r="G557" s="175"/>
      <c r="H557" s="175"/>
    </row>
    <row r="558" spans="6:8" ht="12.75" customHeight="1" x14ac:dyDescent="0.2">
      <c r="F558" s="175"/>
      <c r="G558" s="175"/>
      <c r="H558" s="175"/>
    </row>
    <row r="559" spans="6:8" ht="12.75" customHeight="1" x14ac:dyDescent="0.2">
      <c r="F559" s="175"/>
      <c r="G559" s="175"/>
      <c r="H559" s="175"/>
    </row>
    <row r="560" spans="6:8" ht="12.75" customHeight="1" x14ac:dyDescent="0.2">
      <c r="F560" s="175"/>
      <c r="G560" s="175"/>
      <c r="H560" s="175"/>
    </row>
    <row r="561" spans="6:8" ht="12.75" customHeight="1" x14ac:dyDescent="0.2">
      <c r="F561" s="175"/>
      <c r="G561" s="175"/>
      <c r="H561" s="175"/>
    </row>
    <row r="562" spans="6:8" ht="12.75" customHeight="1" x14ac:dyDescent="0.2">
      <c r="F562" s="175"/>
      <c r="G562" s="175"/>
      <c r="H562" s="175"/>
    </row>
    <row r="563" spans="6:8" ht="12.75" customHeight="1" x14ac:dyDescent="0.2">
      <c r="F563" s="175"/>
      <c r="G563" s="175"/>
      <c r="H563" s="175"/>
    </row>
    <row r="564" spans="6:8" ht="12.75" customHeight="1" x14ac:dyDescent="0.2">
      <c r="F564" s="175"/>
      <c r="G564" s="175"/>
      <c r="H564" s="175"/>
    </row>
    <row r="565" spans="6:8" ht="12.75" customHeight="1" x14ac:dyDescent="0.2">
      <c r="F565" s="175"/>
      <c r="G565" s="175"/>
      <c r="H565" s="175"/>
    </row>
    <row r="566" spans="6:8" ht="12.75" customHeight="1" x14ac:dyDescent="0.2">
      <c r="F566" s="175"/>
      <c r="G566" s="175"/>
      <c r="H566" s="175"/>
    </row>
    <row r="567" spans="6:8" ht="12.75" customHeight="1" x14ac:dyDescent="0.2">
      <c r="F567" s="175"/>
      <c r="G567" s="175"/>
      <c r="H567" s="175"/>
    </row>
    <row r="568" spans="6:8" ht="12.75" customHeight="1" x14ac:dyDescent="0.2">
      <c r="F568" s="175"/>
      <c r="G568" s="175"/>
      <c r="H568" s="175"/>
    </row>
    <row r="569" spans="6:8" ht="12.75" customHeight="1" x14ac:dyDescent="0.2">
      <c r="F569" s="175"/>
      <c r="G569" s="175"/>
      <c r="H569" s="175"/>
    </row>
    <row r="570" spans="6:8" ht="12.75" customHeight="1" x14ac:dyDescent="0.2">
      <c r="F570" s="175"/>
      <c r="G570" s="175"/>
      <c r="H570" s="175"/>
    </row>
    <row r="571" spans="6:8" ht="12.75" customHeight="1" x14ac:dyDescent="0.2">
      <c r="F571" s="175"/>
      <c r="G571" s="175"/>
      <c r="H571" s="175"/>
    </row>
    <row r="572" spans="6:8" ht="12.75" customHeight="1" x14ac:dyDescent="0.2">
      <c r="F572" s="175"/>
      <c r="G572" s="175"/>
      <c r="H572" s="175"/>
    </row>
    <row r="573" spans="6:8" ht="12.75" customHeight="1" x14ac:dyDescent="0.2">
      <c r="F573" s="175"/>
      <c r="G573" s="175"/>
      <c r="H573" s="175"/>
    </row>
    <row r="574" spans="6:8" ht="12.75" customHeight="1" x14ac:dyDescent="0.2">
      <c r="F574" s="175"/>
      <c r="G574" s="175"/>
      <c r="H574" s="175"/>
    </row>
    <row r="575" spans="6:8" ht="12.75" customHeight="1" x14ac:dyDescent="0.2">
      <c r="F575" s="175"/>
      <c r="G575" s="175"/>
      <c r="H575" s="175"/>
    </row>
    <row r="576" spans="6:8" ht="12.75" customHeight="1" x14ac:dyDescent="0.2">
      <c r="F576" s="175"/>
      <c r="G576" s="175"/>
      <c r="H576" s="175"/>
    </row>
    <row r="577" spans="6:8" ht="12.75" customHeight="1" x14ac:dyDescent="0.2">
      <c r="F577" s="175"/>
      <c r="G577" s="175"/>
      <c r="H577" s="175"/>
    </row>
    <row r="578" spans="6:8" ht="12.75" customHeight="1" x14ac:dyDescent="0.2">
      <c r="F578" s="175"/>
      <c r="G578" s="175"/>
      <c r="H578" s="175"/>
    </row>
    <row r="579" spans="6:8" ht="12.75" customHeight="1" x14ac:dyDescent="0.2">
      <c r="F579" s="175"/>
      <c r="G579" s="175"/>
      <c r="H579" s="175"/>
    </row>
    <row r="580" spans="6:8" ht="12.75" customHeight="1" x14ac:dyDescent="0.2">
      <c r="F580" s="175"/>
      <c r="G580" s="175"/>
      <c r="H580" s="175"/>
    </row>
    <row r="581" spans="6:8" ht="12.75" customHeight="1" x14ac:dyDescent="0.2">
      <c r="F581" s="175"/>
      <c r="G581" s="175"/>
      <c r="H581" s="175"/>
    </row>
    <row r="582" spans="6:8" ht="12.75" customHeight="1" x14ac:dyDescent="0.2">
      <c r="F582" s="175"/>
      <c r="G582" s="175"/>
      <c r="H582" s="175"/>
    </row>
    <row r="583" spans="6:8" ht="12.75" customHeight="1" x14ac:dyDescent="0.2">
      <c r="F583" s="175"/>
      <c r="G583" s="175"/>
      <c r="H583" s="175"/>
    </row>
    <row r="584" spans="6:8" ht="12.75" customHeight="1" x14ac:dyDescent="0.2">
      <c r="F584" s="175"/>
      <c r="G584" s="175"/>
      <c r="H584" s="175"/>
    </row>
    <row r="585" spans="6:8" ht="12.75" customHeight="1" x14ac:dyDescent="0.2">
      <c r="F585" s="175"/>
      <c r="G585" s="175"/>
      <c r="H585" s="175"/>
    </row>
    <row r="586" spans="6:8" ht="12.75" customHeight="1" x14ac:dyDescent="0.2">
      <c r="F586" s="175"/>
      <c r="G586" s="175"/>
      <c r="H586" s="175"/>
    </row>
    <row r="587" spans="6:8" ht="12.75" customHeight="1" x14ac:dyDescent="0.2">
      <c r="F587" s="175"/>
      <c r="G587" s="175"/>
      <c r="H587" s="175"/>
    </row>
    <row r="588" spans="6:8" ht="12.75" customHeight="1" x14ac:dyDescent="0.2">
      <c r="F588" s="175"/>
      <c r="G588" s="175"/>
      <c r="H588" s="175"/>
    </row>
    <row r="589" spans="6:8" ht="12.75" customHeight="1" x14ac:dyDescent="0.2">
      <c r="F589" s="175"/>
      <c r="G589" s="175"/>
      <c r="H589" s="175"/>
    </row>
    <row r="590" spans="6:8" ht="12.75" customHeight="1" x14ac:dyDescent="0.2">
      <c r="F590" s="175"/>
      <c r="G590" s="175"/>
      <c r="H590" s="175"/>
    </row>
    <row r="591" spans="6:8" ht="12.75" customHeight="1" x14ac:dyDescent="0.2">
      <c r="F591" s="175"/>
      <c r="G591" s="175"/>
      <c r="H591" s="175"/>
    </row>
    <row r="592" spans="6:8" ht="12.75" customHeight="1" x14ac:dyDescent="0.2">
      <c r="F592" s="175"/>
      <c r="G592" s="175"/>
      <c r="H592" s="175"/>
    </row>
    <row r="593" spans="6:8" ht="12.75" customHeight="1" x14ac:dyDescent="0.2">
      <c r="F593" s="175"/>
      <c r="G593" s="175"/>
      <c r="H593" s="175"/>
    </row>
    <row r="594" spans="6:8" ht="12.75" customHeight="1" x14ac:dyDescent="0.2">
      <c r="F594" s="175"/>
      <c r="G594" s="175"/>
      <c r="H594" s="175"/>
    </row>
    <row r="595" spans="6:8" ht="12.75" customHeight="1" x14ac:dyDescent="0.2">
      <c r="F595" s="175"/>
      <c r="G595" s="175"/>
      <c r="H595" s="175"/>
    </row>
    <row r="596" spans="6:8" ht="12.75" customHeight="1" x14ac:dyDescent="0.2">
      <c r="F596" s="175"/>
      <c r="G596" s="175"/>
      <c r="H596" s="175"/>
    </row>
    <row r="597" spans="6:8" ht="12.75" customHeight="1" x14ac:dyDescent="0.2">
      <c r="F597" s="175"/>
      <c r="G597" s="175"/>
      <c r="H597" s="175"/>
    </row>
    <row r="598" spans="6:8" ht="12.75" customHeight="1" x14ac:dyDescent="0.2">
      <c r="F598" s="175"/>
      <c r="G598" s="175"/>
      <c r="H598" s="175"/>
    </row>
    <row r="599" spans="6:8" ht="12.75" customHeight="1" x14ac:dyDescent="0.2">
      <c r="F599" s="175"/>
      <c r="G599" s="175"/>
      <c r="H599" s="175"/>
    </row>
    <row r="600" spans="6:8" ht="12.75" customHeight="1" x14ac:dyDescent="0.2">
      <c r="F600" s="175"/>
      <c r="G600" s="175"/>
      <c r="H600" s="175"/>
    </row>
    <row r="601" spans="6:8" ht="12.75" customHeight="1" x14ac:dyDescent="0.2">
      <c r="F601" s="175"/>
      <c r="G601" s="175"/>
      <c r="H601" s="175"/>
    </row>
    <row r="602" spans="6:8" ht="12.75" customHeight="1" x14ac:dyDescent="0.2">
      <c r="F602" s="175"/>
      <c r="G602" s="175"/>
      <c r="H602" s="175"/>
    </row>
    <row r="603" spans="6:8" ht="12.75" customHeight="1" x14ac:dyDescent="0.2">
      <c r="F603" s="175"/>
      <c r="G603" s="175"/>
      <c r="H603" s="175"/>
    </row>
    <row r="604" spans="6:8" ht="12.75" customHeight="1" x14ac:dyDescent="0.2">
      <c r="F604" s="175"/>
      <c r="G604" s="175"/>
      <c r="H604" s="175"/>
    </row>
    <row r="605" spans="6:8" ht="12.75" customHeight="1" x14ac:dyDescent="0.2">
      <c r="F605" s="175"/>
      <c r="G605" s="175"/>
      <c r="H605" s="175"/>
    </row>
    <row r="606" spans="6:8" ht="12.75" customHeight="1" x14ac:dyDescent="0.2">
      <c r="F606" s="175"/>
      <c r="G606" s="175"/>
      <c r="H606" s="175"/>
    </row>
    <row r="607" spans="6:8" ht="12.75" customHeight="1" x14ac:dyDescent="0.2">
      <c r="F607" s="175"/>
      <c r="G607" s="175"/>
      <c r="H607" s="175"/>
    </row>
    <row r="608" spans="6:8" ht="12.75" customHeight="1" x14ac:dyDescent="0.2">
      <c r="F608" s="175"/>
      <c r="G608" s="175"/>
      <c r="H608" s="175"/>
    </row>
    <row r="609" spans="6:8" ht="12.75" customHeight="1" x14ac:dyDescent="0.2">
      <c r="F609" s="175"/>
      <c r="G609" s="175"/>
      <c r="H609" s="175"/>
    </row>
    <row r="610" spans="6:8" ht="12.75" customHeight="1" x14ac:dyDescent="0.2">
      <c r="F610" s="175"/>
      <c r="G610" s="175"/>
      <c r="H610" s="175"/>
    </row>
    <row r="611" spans="6:8" ht="12.75" customHeight="1" x14ac:dyDescent="0.2">
      <c r="F611" s="175"/>
      <c r="G611" s="175"/>
      <c r="H611" s="175"/>
    </row>
    <row r="612" spans="6:8" ht="12.75" customHeight="1" x14ac:dyDescent="0.2">
      <c r="F612" s="175"/>
      <c r="G612" s="175"/>
      <c r="H612" s="175"/>
    </row>
    <row r="613" spans="6:8" ht="12.75" customHeight="1" x14ac:dyDescent="0.2">
      <c r="F613" s="175"/>
      <c r="G613" s="175"/>
      <c r="H613" s="175"/>
    </row>
    <row r="614" spans="6:8" ht="12.75" customHeight="1" x14ac:dyDescent="0.2">
      <c r="F614" s="175"/>
      <c r="G614" s="175"/>
      <c r="H614" s="175"/>
    </row>
    <row r="615" spans="6:8" ht="12.75" customHeight="1" x14ac:dyDescent="0.2">
      <c r="F615" s="175"/>
      <c r="G615" s="175"/>
      <c r="H615" s="175"/>
    </row>
    <row r="616" spans="6:8" ht="12.75" customHeight="1" x14ac:dyDescent="0.2">
      <c r="F616" s="175"/>
      <c r="G616" s="175"/>
      <c r="H616" s="175"/>
    </row>
    <row r="617" spans="6:8" ht="12.75" customHeight="1" x14ac:dyDescent="0.2">
      <c r="F617" s="175"/>
      <c r="G617" s="175"/>
      <c r="H617" s="175"/>
    </row>
    <row r="618" spans="6:8" ht="12.75" customHeight="1" x14ac:dyDescent="0.2">
      <c r="F618" s="175"/>
      <c r="G618" s="175"/>
      <c r="H618" s="175"/>
    </row>
    <row r="619" spans="6:8" ht="12.75" customHeight="1" x14ac:dyDescent="0.2">
      <c r="F619" s="175"/>
      <c r="G619" s="175"/>
      <c r="H619" s="175"/>
    </row>
    <row r="620" spans="6:8" ht="12.75" customHeight="1" x14ac:dyDescent="0.2">
      <c r="F620" s="175"/>
      <c r="G620" s="175"/>
      <c r="H620" s="175"/>
    </row>
    <row r="621" spans="6:8" ht="12.75" customHeight="1" x14ac:dyDescent="0.2">
      <c r="F621" s="175"/>
      <c r="G621" s="175"/>
      <c r="H621" s="175"/>
    </row>
    <row r="622" spans="6:8" ht="12.75" customHeight="1" x14ac:dyDescent="0.2">
      <c r="F622" s="175"/>
      <c r="G622" s="175"/>
      <c r="H622" s="175"/>
    </row>
    <row r="623" spans="6:8" ht="12.75" customHeight="1" x14ac:dyDescent="0.2">
      <c r="F623" s="175"/>
      <c r="G623" s="175"/>
      <c r="H623" s="175"/>
    </row>
    <row r="624" spans="6:8" ht="12.75" customHeight="1" x14ac:dyDescent="0.2">
      <c r="F624" s="175"/>
      <c r="G624" s="175"/>
      <c r="H624" s="175"/>
    </row>
    <row r="625" spans="6:8" ht="12.75" customHeight="1" x14ac:dyDescent="0.2">
      <c r="F625" s="175"/>
      <c r="G625" s="175"/>
      <c r="H625" s="175"/>
    </row>
    <row r="626" spans="6:8" ht="12.75" customHeight="1" x14ac:dyDescent="0.2">
      <c r="F626" s="175"/>
      <c r="G626" s="175"/>
      <c r="H626" s="175"/>
    </row>
    <row r="627" spans="6:8" ht="12.75" customHeight="1" x14ac:dyDescent="0.2">
      <c r="F627" s="175"/>
      <c r="G627" s="175"/>
      <c r="H627" s="175"/>
    </row>
    <row r="628" spans="6:8" ht="12.75" customHeight="1" x14ac:dyDescent="0.2">
      <c r="F628" s="175"/>
      <c r="G628" s="175"/>
      <c r="H628" s="175"/>
    </row>
    <row r="629" spans="6:8" ht="12.75" customHeight="1" x14ac:dyDescent="0.2">
      <c r="F629" s="175"/>
      <c r="G629" s="175"/>
      <c r="H629" s="175"/>
    </row>
    <row r="630" spans="6:8" ht="12.75" customHeight="1" x14ac:dyDescent="0.2">
      <c r="F630" s="175"/>
      <c r="G630" s="175"/>
      <c r="H630" s="175"/>
    </row>
    <row r="631" spans="6:8" ht="12.75" customHeight="1" x14ac:dyDescent="0.2">
      <c r="F631" s="175"/>
      <c r="G631" s="175"/>
      <c r="H631" s="175"/>
    </row>
    <row r="632" spans="6:8" ht="12.75" customHeight="1" x14ac:dyDescent="0.2">
      <c r="F632" s="175"/>
      <c r="G632" s="175"/>
      <c r="H632" s="175"/>
    </row>
    <row r="633" spans="6:8" ht="12.75" customHeight="1" x14ac:dyDescent="0.2">
      <c r="F633" s="175"/>
      <c r="G633" s="175"/>
      <c r="H633" s="175"/>
    </row>
    <row r="634" spans="6:8" ht="12.75" customHeight="1" x14ac:dyDescent="0.2">
      <c r="F634" s="175"/>
      <c r="G634" s="175"/>
      <c r="H634" s="175"/>
    </row>
    <row r="635" spans="6:8" ht="12.75" customHeight="1" x14ac:dyDescent="0.2">
      <c r="F635" s="175"/>
      <c r="G635" s="175"/>
      <c r="H635" s="175"/>
    </row>
    <row r="636" spans="6:8" ht="12.75" customHeight="1" x14ac:dyDescent="0.2">
      <c r="F636" s="175"/>
      <c r="G636" s="175"/>
      <c r="H636" s="175"/>
    </row>
    <row r="637" spans="6:8" ht="12.75" customHeight="1" x14ac:dyDescent="0.2">
      <c r="F637" s="175"/>
      <c r="G637" s="175"/>
      <c r="H637" s="175"/>
    </row>
    <row r="638" spans="6:8" ht="12.75" customHeight="1" x14ac:dyDescent="0.2">
      <c r="F638" s="175"/>
      <c r="G638" s="175"/>
      <c r="H638" s="175"/>
    </row>
    <row r="639" spans="6:8" ht="12.75" customHeight="1" x14ac:dyDescent="0.2">
      <c r="F639" s="175"/>
      <c r="G639" s="175"/>
      <c r="H639" s="175"/>
    </row>
    <row r="640" spans="6:8" ht="12.75" customHeight="1" x14ac:dyDescent="0.2">
      <c r="F640" s="175"/>
      <c r="G640" s="175"/>
      <c r="H640" s="175"/>
    </row>
    <row r="641" spans="6:8" ht="12.75" customHeight="1" x14ac:dyDescent="0.2">
      <c r="F641" s="175"/>
      <c r="G641" s="175"/>
      <c r="H641" s="175"/>
    </row>
    <row r="642" spans="6:8" ht="12.75" customHeight="1" x14ac:dyDescent="0.2">
      <c r="F642" s="175"/>
      <c r="G642" s="175"/>
      <c r="H642" s="175"/>
    </row>
    <row r="643" spans="6:8" ht="12.75" customHeight="1" x14ac:dyDescent="0.2">
      <c r="F643" s="175"/>
      <c r="G643" s="175"/>
      <c r="H643" s="175"/>
    </row>
    <row r="644" spans="6:8" ht="12.75" customHeight="1" x14ac:dyDescent="0.2">
      <c r="F644" s="175"/>
      <c r="G644" s="175"/>
      <c r="H644" s="175"/>
    </row>
    <row r="645" spans="6:8" ht="12.75" customHeight="1" x14ac:dyDescent="0.2">
      <c r="F645" s="175"/>
      <c r="G645" s="175"/>
      <c r="H645" s="175"/>
    </row>
    <row r="646" spans="6:8" ht="12.75" customHeight="1" x14ac:dyDescent="0.2">
      <c r="F646" s="175"/>
      <c r="G646" s="175"/>
      <c r="H646" s="175"/>
    </row>
    <row r="647" spans="6:8" ht="12.75" customHeight="1" x14ac:dyDescent="0.2">
      <c r="F647" s="175"/>
      <c r="G647" s="175"/>
      <c r="H647" s="175"/>
    </row>
    <row r="648" spans="6:8" ht="12.75" customHeight="1" x14ac:dyDescent="0.2">
      <c r="F648" s="175"/>
      <c r="G648" s="175"/>
      <c r="H648" s="175"/>
    </row>
    <row r="649" spans="6:8" ht="12.75" customHeight="1" x14ac:dyDescent="0.2">
      <c r="F649" s="175"/>
      <c r="G649" s="175"/>
      <c r="H649" s="175"/>
    </row>
    <row r="650" spans="6:8" ht="12.75" customHeight="1" x14ac:dyDescent="0.2">
      <c r="F650" s="175"/>
      <c r="G650" s="175"/>
      <c r="H650" s="175"/>
    </row>
    <row r="651" spans="6:8" ht="12.75" customHeight="1" x14ac:dyDescent="0.2">
      <c r="F651" s="175"/>
      <c r="G651" s="175"/>
      <c r="H651" s="175"/>
    </row>
    <row r="652" spans="6:8" ht="12.75" customHeight="1" x14ac:dyDescent="0.2">
      <c r="F652" s="175"/>
      <c r="G652" s="175"/>
      <c r="H652" s="175"/>
    </row>
    <row r="653" spans="6:8" ht="12.75" customHeight="1" x14ac:dyDescent="0.2">
      <c r="F653" s="175"/>
      <c r="G653" s="175"/>
      <c r="H653" s="175"/>
    </row>
    <row r="654" spans="6:8" ht="12.75" customHeight="1" x14ac:dyDescent="0.2">
      <c r="F654" s="175"/>
      <c r="G654" s="175"/>
      <c r="H654" s="175"/>
    </row>
    <row r="655" spans="6:8" ht="12.75" customHeight="1" x14ac:dyDescent="0.2">
      <c r="F655" s="175"/>
      <c r="G655" s="175"/>
      <c r="H655" s="175"/>
    </row>
    <row r="656" spans="6:8" ht="12.75" customHeight="1" x14ac:dyDescent="0.2">
      <c r="F656" s="175"/>
      <c r="G656" s="175"/>
      <c r="H656" s="175"/>
    </row>
    <row r="657" spans="6:8" ht="12.75" customHeight="1" x14ac:dyDescent="0.2">
      <c r="F657" s="175"/>
      <c r="G657" s="175"/>
      <c r="H657" s="175"/>
    </row>
    <row r="658" spans="6:8" ht="12.75" customHeight="1" x14ac:dyDescent="0.2">
      <c r="F658" s="175"/>
      <c r="G658" s="175"/>
      <c r="H658" s="175"/>
    </row>
    <row r="659" spans="6:8" ht="12.75" customHeight="1" x14ac:dyDescent="0.2">
      <c r="F659" s="175"/>
      <c r="G659" s="175"/>
      <c r="H659" s="175"/>
    </row>
    <row r="660" spans="6:8" ht="12.75" customHeight="1" x14ac:dyDescent="0.2">
      <c r="F660" s="175"/>
      <c r="G660" s="175"/>
      <c r="H660" s="175"/>
    </row>
    <row r="661" spans="6:8" ht="12.75" customHeight="1" x14ac:dyDescent="0.2">
      <c r="F661" s="175"/>
      <c r="G661" s="175"/>
      <c r="H661" s="175"/>
    </row>
    <row r="662" spans="6:8" ht="12.75" customHeight="1" x14ac:dyDescent="0.2">
      <c r="F662" s="175"/>
      <c r="G662" s="175"/>
      <c r="H662" s="175"/>
    </row>
    <row r="663" spans="6:8" ht="12.75" customHeight="1" x14ac:dyDescent="0.2">
      <c r="F663" s="175"/>
      <c r="G663" s="175"/>
      <c r="H663" s="175"/>
    </row>
    <row r="664" spans="6:8" ht="12.75" customHeight="1" x14ac:dyDescent="0.2">
      <c r="F664" s="175"/>
      <c r="G664" s="175"/>
      <c r="H664" s="175"/>
    </row>
    <row r="665" spans="6:8" ht="12.75" customHeight="1" x14ac:dyDescent="0.2">
      <c r="F665" s="175"/>
      <c r="G665" s="175"/>
      <c r="H665" s="175"/>
    </row>
    <row r="666" spans="6:8" ht="12.75" customHeight="1" x14ac:dyDescent="0.2">
      <c r="F666" s="175"/>
      <c r="G666" s="175"/>
      <c r="H666" s="175"/>
    </row>
    <row r="667" spans="6:8" ht="12.75" customHeight="1" x14ac:dyDescent="0.2">
      <c r="F667" s="175"/>
      <c r="G667" s="175"/>
      <c r="H667" s="175"/>
    </row>
    <row r="668" spans="6:8" ht="12.75" customHeight="1" x14ac:dyDescent="0.2">
      <c r="F668" s="175"/>
      <c r="G668" s="175"/>
      <c r="H668" s="175"/>
    </row>
    <row r="669" spans="6:8" ht="12.75" customHeight="1" x14ac:dyDescent="0.2">
      <c r="F669" s="175"/>
      <c r="G669" s="175"/>
      <c r="H669" s="175"/>
    </row>
    <row r="670" spans="6:8" ht="12.75" customHeight="1" x14ac:dyDescent="0.2">
      <c r="F670" s="175"/>
      <c r="G670" s="175"/>
      <c r="H670" s="175"/>
    </row>
    <row r="671" spans="6:8" ht="12.75" customHeight="1" x14ac:dyDescent="0.2">
      <c r="F671" s="175"/>
      <c r="G671" s="175"/>
      <c r="H671" s="175"/>
    </row>
    <row r="672" spans="6:8" ht="12.75" customHeight="1" x14ac:dyDescent="0.2">
      <c r="F672" s="175"/>
      <c r="G672" s="175"/>
      <c r="H672" s="175"/>
    </row>
    <row r="673" spans="6:8" ht="12.75" customHeight="1" x14ac:dyDescent="0.2">
      <c r="F673" s="175"/>
      <c r="G673" s="175"/>
      <c r="H673" s="175"/>
    </row>
    <row r="674" spans="6:8" ht="12.75" customHeight="1" x14ac:dyDescent="0.2">
      <c r="F674" s="175"/>
      <c r="G674" s="175"/>
      <c r="H674" s="175"/>
    </row>
    <row r="675" spans="6:8" ht="12.75" customHeight="1" x14ac:dyDescent="0.2">
      <c r="F675" s="175"/>
      <c r="G675" s="175"/>
      <c r="H675" s="175"/>
    </row>
    <row r="676" spans="6:8" ht="12.75" customHeight="1" x14ac:dyDescent="0.2">
      <c r="F676" s="175"/>
      <c r="G676" s="175"/>
      <c r="H676" s="175"/>
    </row>
    <row r="677" spans="6:8" ht="12.75" customHeight="1" x14ac:dyDescent="0.2">
      <c r="F677" s="175"/>
      <c r="G677" s="175"/>
      <c r="H677" s="175"/>
    </row>
    <row r="678" spans="6:8" ht="12.75" customHeight="1" x14ac:dyDescent="0.2">
      <c r="F678" s="175"/>
      <c r="G678" s="175"/>
      <c r="H678" s="175"/>
    </row>
    <row r="679" spans="6:8" ht="12.75" customHeight="1" x14ac:dyDescent="0.2">
      <c r="F679" s="175"/>
      <c r="G679" s="175"/>
      <c r="H679" s="175"/>
    </row>
    <row r="680" spans="6:8" ht="12.75" customHeight="1" x14ac:dyDescent="0.2">
      <c r="F680" s="175"/>
      <c r="G680" s="175"/>
      <c r="H680" s="175"/>
    </row>
    <row r="681" spans="6:8" ht="12.75" customHeight="1" x14ac:dyDescent="0.2">
      <c r="F681" s="175"/>
      <c r="G681" s="175"/>
      <c r="H681" s="175"/>
    </row>
    <row r="682" spans="6:8" ht="12.75" customHeight="1" x14ac:dyDescent="0.2">
      <c r="F682" s="175"/>
      <c r="G682" s="175"/>
      <c r="H682" s="175"/>
    </row>
    <row r="683" spans="6:8" ht="12.75" customHeight="1" x14ac:dyDescent="0.2">
      <c r="F683" s="175"/>
      <c r="G683" s="175"/>
      <c r="H683" s="175"/>
    </row>
    <row r="684" spans="6:8" ht="12.75" customHeight="1" x14ac:dyDescent="0.2">
      <c r="F684" s="175"/>
      <c r="G684" s="175"/>
      <c r="H684" s="175"/>
    </row>
    <row r="685" spans="6:8" ht="12.75" customHeight="1" x14ac:dyDescent="0.2">
      <c r="F685" s="175"/>
      <c r="G685" s="175"/>
      <c r="H685" s="175"/>
    </row>
    <row r="686" spans="6:8" ht="12.75" customHeight="1" x14ac:dyDescent="0.2">
      <c r="F686" s="175"/>
      <c r="G686" s="175"/>
      <c r="H686" s="175"/>
    </row>
    <row r="687" spans="6:8" ht="12.75" customHeight="1" x14ac:dyDescent="0.2">
      <c r="F687" s="175"/>
      <c r="G687" s="175"/>
      <c r="H687" s="175"/>
    </row>
    <row r="688" spans="6:8" ht="12.75" customHeight="1" x14ac:dyDescent="0.2">
      <c r="F688" s="175"/>
      <c r="G688" s="175"/>
      <c r="H688" s="175"/>
    </row>
    <row r="689" spans="6:8" ht="12.75" customHeight="1" x14ac:dyDescent="0.2">
      <c r="F689" s="175"/>
      <c r="G689" s="175"/>
      <c r="H689" s="175"/>
    </row>
    <row r="690" spans="6:8" ht="12.75" customHeight="1" x14ac:dyDescent="0.2">
      <c r="F690" s="175"/>
      <c r="G690" s="175"/>
      <c r="H690" s="175"/>
    </row>
    <row r="691" spans="6:8" ht="12.75" customHeight="1" x14ac:dyDescent="0.2">
      <c r="F691" s="175"/>
      <c r="G691" s="175"/>
      <c r="H691" s="175"/>
    </row>
    <row r="692" spans="6:8" ht="12.75" customHeight="1" x14ac:dyDescent="0.2">
      <c r="F692" s="175"/>
      <c r="G692" s="175"/>
      <c r="H692" s="175"/>
    </row>
    <row r="693" spans="6:8" ht="12.75" customHeight="1" x14ac:dyDescent="0.2">
      <c r="F693" s="175"/>
      <c r="G693" s="175"/>
      <c r="H693" s="175"/>
    </row>
    <row r="694" spans="6:8" ht="12.75" customHeight="1" x14ac:dyDescent="0.2">
      <c r="F694" s="175"/>
      <c r="G694" s="175"/>
      <c r="H694" s="175"/>
    </row>
    <row r="695" spans="6:8" ht="12.75" customHeight="1" x14ac:dyDescent="0.2">
      <c r="F695" s="175"/>
      <c r="G695" s="175"/>
      <c r="H695" s="175"/>
    </row>
    <row r="696" spans="6:8" ht="12.75" customHeight="1" x14ac:dyDescent="0.2">
      <c r="F696" s="175"/>
      <c r="G696" s="175"/>
      <c r="H696" s="175"/>
    </row>
    <row r="697" spans="6:8" ht="12.75" customHeight="1" x14ac:dyDescent="0.2">
      <c r="F697" s="175"/>
      <c r="G697" s="175"/>
      <c r="H697" s="175"/>
    </row>
    <row r="698" spans="6:8" ht="12.75" customHeight="1" x14ac:dyDescent="0.2">
      <c r="F698" s="175"/>
      <c r="G698" s="175"/>
      <c r="H698" s="175"/>
    </row>
    <row r="699" spans="6:8" ht="12.75" customHeight="1" x14ac:dyDescent="0.2">
      <c r="F699" s="175"/>
      <c r="G699" s="175"/>
      <c r="H699" s="175"/>
    </row>
    <row r="700" spans="6:8" ht="12.75" customHeight="1" x14ac:dyDescent="0.2">
      <c r="F700" s="175"/>
      <c r="G700" s="175"/>
      <c r="H700" s="175"/>
    </row>
    <row r="701" spans="6:8" ht="12.75" customHeight="1" x14ac:dyDescent="0.2">
      <c r="F701" s="175"/>
      <c r="G701" s="175"/>
      <c r="H701" s="175"/>
    </row>
    <row r="702" spans="6:8" ht="12.75" customHeight="1" x14ac:dyDescent="0.2">
      <c r="F702" s="175"/>
      <c r="G702" s="175"/>
      <c r="H702" s="175"/>
    </row>
    <row r="703" spans="6:8" ht="12.75" customHeight="1" x14ac:dyDescent="0.2">
      <c r="F703" s="175"/>
      <c r="G703" s="175"/>
      <c r="H703" s="175"/>
    </row>
    <row r="704" spans="6:8" ht="12.75" customHeight="1" x14ac:dyDescent="0.2">
      <c r="F704" s="175"/>
      <c r="G704" s="175"/>
      <c r="H704" s="175"/>
    </row>
    <row r="705" spans="6:8" ht="12.75" customHeight="1" x14ac:dyDescent="0.2">
      <c r="F705" s="175"/>
      <c r="G705" s="175"/>
      <c r="H705" s="175"/>
    </row>
    <row r="706" spans="6:8" ht="12.75" customHeight="1" x14ac:dyDescent="0.2">
      <c r="F706" s="175"/>
      <c r="G706" s="175"/>
      <c r="H706" s="175"/>
    </row>
    <row r="707" spans="6:8" ht="12.75" customHeight="1" x14ac:dyDescent="0.2">
      <c r="F707" s="175"/>
      <c r="G707" s="175"/>
      <c r="H707" s="175"/>
    </row>
    <row r="708" spans="6:8" ht="12.75" customHeight="1" x14ac:dyDescent="0.2">
      <c r="F708" s="175"/>
      <c r="G708" s="175"/>
      <c r="H708" s="175"/>
    </row>
    <row r="709" spans="6:8" ht="12.75" customHeight="1" x14ac:dyDescent="0.2">
      <c r="F709" s="175"/>
      <c r="G709" s="175"/>
      <c r="H709" s="175"/>
    </row>
    <row r="710" spans="6:8" ht="12.75" customHeight="1" x14ac:dyDescent="0.2">
      <c r="F710" s="175"/>
      <c r="G710" s="175"/>
      <c r="H710" s="175"/>
    </row>
    <row r="711" spans="6:8" ht="12.75" customHeight="1" x14ac:dyDescent="0.2">
      <c r="F711" s="175"/>
      <c r="G711" s="175"/>
      <c r="H711" s="175"/>
    </row>
    <row r="712" spans="6:8" ht="12.75" customHeight="1" x14ac:dyDescent="0.2">
      <c r="F712" s="175"/>
      <c r="G712" s="175"/>
      <c r="H712" s="175"/>
    </row>
    <row r="713" spans="6:8" ht="12.75" customHeight="1" x14ac:dyDescent="0.2">
      <c r="F713" s="175"/>
      <c r="G713" s="175"/>
      <c r="H713" s="175"/>
    </row>
    <row r="714" spans="6:8" ht="12.75" customHeight="1" x14ac:dyDescent="0.2">
      <c r="F714" s="175"/>
      <c r="G714" s="175"/>
      <c r="H714" s="175"/>
    </row>
    <row r="715" spans="6:8" ht="12.75" customHeight="1" x14ac:dyDescent="0.2">
      <c r="F715" s="175"/>
      <c r="G715" s="175"/>
      <c r="H715" s="175"/>
    </row>
    <row r="716" spans="6:8" ht="12.75" customHeight="1" x14ac:dyDescent="0.2">
      <c r="F716" s="175"/>
      <c r="G716" s="175"/>
      <c r="H716" s="175"/>
    </row>
    <row r="717" spans="6:8" ht="12.75" customHeight="1" x14ac:dyDescent="0.2">
      <c r="F717" s="175"/>
      <c r="G717" s="175"/>
      <c r="H717" s="175"/>
    </row>
    <row r="718" spans="6:8" ht="12.75" customHeight="1" x14ac:dyDescent="0.2">
      <c r="F718" s="175"/>
      <c r="G718" s="175"/>
      <c r="H718" s="175"/>
    </row>
    <row r="719" spans="6:8" ht="12.75" customHeight="1" x14ac:dyDescent="0.2">
      <c r="F719" s="175"/>
      <c r="G719" s="175"/>
      <c r="H719" s="175"/>
    </row>
    <row r="720" spans="6:8" ht="12.75" customHeight="1" x14ac:dyDescent="0.2">
      <c r="F720" s="175"/>
      <c r="G720" s="175"/>
      <c r="H720" s="175"/>
    </row>
    <row r="721" spans="6:8" ht="12.75" customHeight="1" x14ac:dyDescent="0.2">
      <c r="F721" s="175"/>
      <c r="G721" s="175"/>
      <c r="H721" s="175"/>
    </row>
    <row r="722" spans="6:8" ht="12.75" customHeight="1" x14ac:dyDescent="0.2">
      <c r="F722" s="175"/>
      <c r="G722" s="175"/>
      <c r="H722" s="175"/>
    </row>
    <row r="723" spans="6:8" ht="12.75" customHeight="1" x14ac:dyDescent="0.2">
      <c r="F723" s="175"/>
      <c r="G723" s="175"/>
      <c r="H723" s="175"/>
    </row>
    <row r="724" spans="6:8" ht="12.75" customHeight="1" x14ac:dyDescent="0.2">
      <c r="F724" s="175"/>
      <c r="G724" s="175"/>
      <c r="H724" s="175"/>
    </row>
    <row r="725" spans="6:8" ht="12.75" customHeight="1" x14ac:dyDescent="0.2">
      <c r="F725" s="175"/>
      <c r="G725" s="175"/>
      <c r="H725" s="175"/>
    </row>
    <row r="726" spans="6:8" ht="12.75" customHeight="1" x14ac:dyDescent="0.2">
      <c r="F726" s="175"/>
      <c r="G726" s="175"/>
      <c r="H726" s="175"/>
    </row>
    <row r="727" spans="6:8" ht="12.75" customHeight="1" x14ac:dyDescent="0.2">
      <c r="F727" s="175"/>
      <c r="G727" s="175"/>
      <c r="H727" s="175"/>
    </row>
    <row r="728" spans="6:8" ht="12.75" customHeight="1" x14ac:dyDescent="0.2">
      <c r="F728" s="175"/>
      <c r="G728" s="175"/>
      <c r="H728" s="175"/>
    </row>
    <row r="729" spans="6:8" ht="12.75" customHeight="1" x14ac:dyDescent="0.2">
      <c r="F729" s="175"/>
      <c r="G729" s="175"/>
      <c r="H729" s="175"/>
    </row>
    <row r="730" spans="6:8" ht="12.75" customHeight="1" x14ac:dyDescent="0.2">
      <c r="F730" s="175"/>
      <c r="G730" s="175"/>
      <c r="H730" s="175"/>
    </row>
    <row r="731" spans="6:8" ht="12.75" customHeight="1" x14ac:dyDescent="0.2">
      <c r="F731" s="175"/>
      <c r="G731" s="175"/>
      <c r="H731" s="175"/>
    </row>
    <row r="732" spans="6:8" ht="12.75" customHeight="1" x14ac:dyDescent="0.2">
      <c r="F732" s="175"/>
      <c r="G732" s="175"/>
      <c r="H732" s="175"/>
    </row>
    <row r="733" spans="6:8" ht="12.75" customHeight="1" x14ac:dyDescent="0.2">
      <c r="F733" s="175"/>
      <c r="G733" s="175"/>
      <c r="H733" s="175"/>
    </row>
    <row r="734" spans="6:8" ht="12.75" customHeight="1" x14ac:dyDescent="0.2">
      <c r="F734" s="175"/>
      <c r="G734" s="175"/>
      <c r="H734" s="175"/>
    </row>
    <row r="735" spans="6:8" ht="12.75" customHeight="1" x14ac:dyDescent="0.2">
      <c r="F735" s="175"/>
      <c r="G735" s="175"/>
      <c r="H735" s="175"/>
    </row>
    <row r="736" spans="6:8" ht="12.75" customHeight="1" x14ac:dyDescent="0.2">
      <c r="F736" s="175"/>
      <c r="G736" s="175"/>
      <c r="H736" s="175"/>
    </row>
    <row r="737" spans="6:8" ht="12.75" customHeight="1" x14ac:dyDescent="0.2">
      <c r="F737" s="175"/>
      <c r="G737" s="175"/>
      <c r="H737" s="175"/>
    </row>
    <row r="738" spans="6:8" ht="12.75" customHeight="1" x14ac:dyDescent="0.2">
      <c r="F738" s="175"/>
      <c r="G738" s="175"/>
      <c r="H738" s="175"/>
    </row>
    <row r="739" spans="6:8" ht="12.75" customHeight="1" x14ac:dyDescent="0.2">
      <c r="F739" s="175"/>
      <c r="G739" s="175"/>
      <c r="H739" s="175"/>
    </row>
    <row r="740" spans="6:8" ht="12.75" customHeight="1" x14ac:dyDescent="0.2">
      <c r="F740" s="175"/>
      <c r="G740" s="175"/>
      <c r="H740" s="175"/>
    </row>
    <row r="741" spans="6:8" ht="12.75" customHeight="1" x14ac:dyDescent="0.2">
      <c r="F741" s="175"/>
      <c r="G741" s="175"/>
      <c r="H741" s="175"/>
    </row>
    <row r="742" spans="6:8" ht="12.75" customHeight="1" x14ac:dyDescent="0.2">
      <c r="F742" s="175"/>
      <c r="G742" s="175"/>
      <c r="H742" s="175"/>
    </row>
    <row r="743" spans="6:8" ht="12.75" customHeight="1" x14ac:dyDescent="0.2">
      <c r="F743" s="175"/>
      <c r="G743" s="175"/>
      <c r="H743" s="175"/>
    </row>
    <row r="744" spans="6:8" ht="12.75" customHeight="1" x14ac:dyDescent="0.2">
      <c r="F744" s="175"/>
      <c r="G744" s="175"/>
      <c r="H744" s="175"/>
    </row>
    <row r="745" spans="6:8" ht="12.75" customHeight="1" x14ac:dyDescent="0.2">
      <c r="F745" s="175"/>
      <c r="G745" s="175"/>
      <c r="H745" s="175"/>
    </row>
    <row r="746" spans="6:8" ht="12.75" customHeight="1" x14ac:dyDescent="0.2">
      <c r="F746" s="175"/>
      <c r="G746" s="175"/>
      <c r="H746" s="175"/>
    </row>
    <row r="747" spans="6:8" ht="12.75" customHeight="1" x14ac:dyDescent="0.2">
      <c r="F747" s="175"/>
      <c r="G747" s="175"/>
      <c r="H747" s="175"/>
    </row>
    <row r="748" spans="6:8" ht="12.75" customHeight="1" x14ac:dyDescent="0.2">
      <c r="F748" s="175"/>
      <c r="G748" s="175"/>
      <c r="H748" s="175"/>
    </row>
    <row r="749" spans="6:8" ht="12.75" customHeight="1" x14ac:dyDescent="0.2">
      <c r="F749" s="175"/>
      <c r="G749" s="175"/>
      <c r="H749" s="175"/>
    </row>
    <row r="750" spans="6:8" ht="12.75" customHeight="1" x14ac:dyDescent="0.2">
      <c r="F750" s="175"/>
      <c r="G750" s="175"/>
      <c r="H750" s="175"/>
    </row>
    <row r="751" spans="6:8" ht="12.75" customHeight="1" x14ac:dyDescent="0.2">
      <c r="F751" s="175"/>
      <c r="G751" s="175"/>
      <c r="H751" s="175"/>
    </row>
    <row r="752" spans="6:8" ht="12.75" customHeight="1" x14ac:dyDescent="0.2">
      <c r="F752" s="175"/>
      <c r="G752" s="175"/>
      <c r="H752" s="175"/>
    </row>
    <row r="753" spans="6:8" ht="12.75" customHeight="1" x14ac:dyDescent="0.2">
      <c r="F753" s="175"/>
      <c r="G753" s="175"/>
      <c r="H753" s="175"/>
    </row>
    <row r="754" spans="6:8" ht="12.75" customHeight="1" x14ac:dyDescent="0.2">
      <c r="F754" s="175"/>
      <c r="G754" s="175"/>
      <c r="H754" s="175"/>
    </row>
    <row r="755" spans="6:8" ht="12.75" customHeight="1" x14ac:dyDescent="0.2">
      <c r="F755" s="175"/>
      <c r="G755" s="175"/>
      <c r="H755" s="175"/>
    </row>
    <row r="756" spans="6:8" ht="12.75" customHeight="1" x14ac:dyDescent="0.2">
      <c r="F756" s="175"/>
      <c r="G756" s="175"/>
      <c r="H756" s="175"/>
    </row>
    <row r="757" spans="6:8" ht="12.75" customHeight="1" x14ac:dyDescent="0.2">
      <c r="F757" s="175"/>
      <c r="G757" s="175"/>
      <c r="H757" s="175"/>
    </row>
    <row r="758" spans="6:8" ht="12.75" customHeight="1" x14ac:dyDescent="0.2">
      <c r="F758" s="175"/>
      <c r="G758" s="175"/>
      <c r="H758" s="175"/>
    </row>
    <row r="759" spans="6:8" ht="12.75" customHeight="1" x14ac:dyDescent="0.2">
      <c r="F759" s="175"/>
      <c r="G759" s="175"/>
      <c r="H759" s="175"/>
    </row>
    <row r="760" spans="6:8" ht="12.75" customHeight="1" x14ac:dyDescent="0.2">
      <c r="F760" s="175"/>
      <c r="G760" s="175"/>
      <c r="H760" s="175"/>
    </row>
    <row r="761" spans="6:8" ht="12.75" customHeight="1" x14ac:dyDescent="0.2">
      <c r="F761" s="175"/>
      <c r="G761" s="175"/>
      <c r="H761" s="175"/>
    </row>
    <row r="762" spans="6:8" ht="12.75" customHeight="1" x14ac:dyDescent="0.2">
      <c r="F762" s="175"/>
      <c r="G762" s="175"/>
      <c r="H762" s="175"/>
    </row>
    <row r="763" spans="6:8" ht="12.75" customHeight="1" x14ac:dyDescent="0.2">
      <c r="F763" s="175"/>
      <c r="G763" s="175"/>
      <c r="H763" s="175"/>
    </row>
    <row r="764" spans="6:8" ht="12.75" customHeight="1" x14ac:dyDescent="0.2">
      <c r="F764" s="175"/>
      <c r="G764" s="175"/>
      <c r="H764" s="175"/>
    </row>
    <row r="765" spans="6:8" ht="12.75" customHeight="1" x14ac:dyDescent="0.2">
      <c r="F765" s="175"/>
      <c r="G765" s="175"/>
      <c r="H765" s="175"/>
    </row>
    <row r="766" spans="6:8" ht="12.75" customHeight="1" x14ac:dyDescent="0.2">
      <c r="F766" s="175"/>
      <c r="G766" s="175"/>
      <c r="H766" s="175"/>
    </row>
    <row r="767" spans="6:8" ht="12.75" customHeight="1" x14ac:dyDescent="0.2">
      <c r="F767" s="175"/>
      <c r="G767" s="175"/>
      <c r="H767" s="175"/>
    </row>
    <row r="768" spans="6:8" ht="12.75" customHeight="1" x14ac:dyDescent="0.2">
      <c r="F768" s="175"/>
      <c r="G768" s="175"/>
      <c r="H768" s="175"/>
    </row>
    <row r="769" spans="6:8" ht="12.75" customHeight="1" x14ac:dyDescent="0.2">
      <c r="F769" s="175"/>
      <c r="G769" s="175"/>
      <c r="H769" s="175"/>
    </row>
    <row r="770" spans="6:8" ht="12.75" customHeight="1" x14ac:dyDescent="0.2">
      <c r="F770" s="175"/>
      <c r="G770" s="175"/>
      <c r="H770" s="175"/>
    </row>
    <row r="771" spans="6:8" ht="12.75" customHeight="1" x14ac:dyDescent="0.2">
      <c r="F771" s="175"/>
      <c r="G771" s="175"/>
      <c r="H771" s="175"/>
    </row>
    <row r="772" spans="6:8" ht="12.75" customHeight="1" x14ac:dyDescent="0.2">
      <c r="F772" s="175"/>
      <c r="G772" s="175"/>
      <c r="H772" s="175"/>
    </row>
    <row r="773" spans="6:8" ht="12.75" customHeight="1" x14ac:dyDescent="0.2">
      <c r="F773" s="175"/>
      <c r="G773" s="175"/>
      <c r="H773" s="175"/>
    </row>
    <row r="774" spans="6:8" ht="12.75" customHeight="1" x14ac:dyDescent="0.2">
      <c r="F774" s="175"/>
      <c r="G774" s="175"/>
      <c r="H774" s="175"/>
    </row>
    <row r="775" spans="6:8" ht="12.75" customHeight="1" x14ac:dyDescent="0.2">
      <c r="F775" s="175"/>
      <c r="G775" s="175"/>
      <c r="H775" s="175"/>
    </row>
    <row r="776" spans="6:8" ht="12.75" customHeight="1" x14ac:dyDescent="0.2">
      <c r="F776" s="175"/>
      <c r="G776" s="175"/>
      <c r="H776" s="175"/>
    </row>
    <row r="777" spans="6:8" ht="12.75" customHeight="1" x14ac:dyDescent="0.2">
      <c r="F777" s="175"/>
      <c r="G777" s="175"/>
      <c r="H777" s="175"/>
    </row>
    <row r="778" spans="6:8" ht="12.75" customHeight="1" x14ac:dyDescent="0.2">
      <c r="F778" s="175"/>
      <c r="G778" s="175"/>
      <c r="H778" s="175"/>
    </row>
    <row r="779" spans="6:8" ht="12.75" customHeight="1" x14ac:dyDescent="0.2">
      <c r="F779" s="175"/>
      <c r="G779" s="175"/>
      <c r="H779" s="175"/>
    </row>
    <row r="780" spans="6:8" ht="12.75" customHeight="1" x14ac:dyDescent="0.2">
      <c r="F780" s="175"/>
      <c r="G780" s="175"/>
      <c r="H780" s="175"/>
    </row>
    <row r="781" spans="6:8" ht="12.75" customHeight="1" x14ac:dyDescent="0.2">
      <c r="F781" s="175"/>
      <c r="G781" s="175"/>
      <c r="H781" s="175"/>
    </row>
    <row r="782" spans="6:8" ht="12.75" customHeight="1" x14ac:dyDescent="0.2">
      <c r="F782" s="175"/>
      <c r="G782" s="175"/>
      <c r="H782" s="175"/>
    </row>
    <row r="783" spans="6:8" ht="12.75" customHeight="1" x14ac:dyDescent="0.2">
      <c r="F783" s="175"/>
      <c r="G783" s="175"/>
      <c r="H783" s="175"/>
    </row>
    <row r="784" spans="6:8" ht="12.75" customHeight="1" x14ac:dyDescent="0.2">
      <c r="F784" s="175"/>
      <c r="G784" s="175"/>
      <c r="H784" s="175"/>
    </row>
    <row r="785" spans="6:8" ht="12.75" customHeight="1" x14ac:dyDescent="0.2">
      <c r="F785" s="175"/>
      <c r="G785" s="175"/>
      <c r="H785" s="175"/>
    </row>
    <row r="786" spans="6:8" ht="12.75" customHeight="1" x14ac:dyDescent="0.2">
      <c r="F786" s="175"/>
      <c r="G786" s="175"/>
      <c r="H786" s="175"/>
    </row>
    <row r="787" spans="6:8" ht="12.75" customHeight="1" x14ac:dyDescent="0.2">
      <c r="F787" s="175"/>
      <c r="G787" s="175"/>
      <c r="H787" s="175"/>
    </row>
    <row r="788" spans="6:8" ht="12.75" customHeight="1" x14ac:dyDescent="0.2">
      <c r="F788" s="175"/>
      <c r="G788" s="175"/>
      <c r="H788" s="175"/>
    </row>
    <row r="789" spans="6:8" ht="12.75" customHeight="1" x14ac:dyDescent="0.2">
      <c r="F789" s="175"/>
      <c r="G789" s="175"/>
      <c r="H789" s="175"/>
    </row>
    <row r="790" spans="6:8" ht="12.75" customHeight="1" x14ac:dyDescent="0.2">
      <c r="F790" s="175"/>
      <c r="G790" s="175"/>
      <c r="H790" s="175"/>
    </row>
    <row r="791" spans="6:8" ht="12.75" customHeight="1" x14ac:dyDescent="0.2">
      <c r="F791" s="175"/>
      <c r="G791" s="175"/>
      <c r="H791" s="175"/>
    </row>
    <row r="792" spans="6:8" ht="12.75" customHeight="1" x14ac:dyDescent="0.2">
      <c r="F792" s="175"/>
      <c r="G792" s="175"/>
      <c r="H792" s="175"/>
    </row>
    <row r="793" spans="6:8" ht="12.75" customHeight="1" x14ac:dyDescent="0.2">
      <c r="F793" s="175"/>
      <c r="G793" s="175"/>
      <c r="H793" s="175"/>
    </row>
    <row r="794" spans="6:8" ht="12.75" customHeight="1" x14ac:dyDescent="0.2">
      <c r="F794" s="175"/>
      <c r="G794" s="175"/>
      <c r="H794" s="175"/>
    </row>
    <row r="795" spans="6:8" ht="12.75" customHeight="1" x14ac:dyDescent="0.2">
      <c r="F795" s="175"/>
      <c r="G795" s="175"/>
      <c r="H795" s="175"/>
    </row>
    <row r="796" spans="6:8" ht="12.75" customHeight="1" x14ac:dyDescent="0.2">
      <c r="F796" s="175"/>
      <c r="G796" s="175"/>
      <c r="H796" s="175"/>
    </row>
    <row r="797" spans="6:8" ht="12.75" customHeight="1" x14ac:dyDescent="0.2">
      <c r="F797" s="175"/>
      <c r="G797" s="175"/>
      <c r="H797" s="175"/>
    </row>
    <row r="798" spans="6:8" ht="12.75" customHeight="1" x14ac:dyDescent="0.2">
      <c r="F798" s="175"/>
      <c r="G798" s="175"/>
      <c r="H798" s="175"/>
    </row>
    <row r="799" spans="6:8" ht="12.75" customHeight="1" x14ac:dyDescent="0.2">
      <c r="F799" s="175"/>
      <c r="G799" s="175"/>
      <c r="H799" s="175"/>
    </row>
    <row r="800" spans="6:8" ht="12.75" customHeight="1" x14ac:dyDescent="0.2">
      <c r="F800" s="175"/>
      <c r="G800" s="175"/>
      <c r="H800" s="175"/>
    </row>
    <row r="801" spans="6:8" ht="12.75" customHeight="1" x14ac:dyDescent="0.2">
      <c r="F801" s="175"/>
      <c r="G801" s="175"/>
      <c r="H801" s="175"/>
    </row>
    <row r="802" spans="6:8" ht="12.75" customHeight="1" x14ac:dyDescent="0.2">
      <c r="F802" s="175"/>
      <c r="G802" s="175"/>
      <c r="H802" s="175"/>
    </row>
    <row r="803" spans="6:8" ht="12.75" customHeight="1" x14ac:dyDescent="0.2">
      <c r="F803" s="175"/>
      <c r="G803" s="175"/>
      <c r="H803" s="175"/>
    </row>
    <row r="804" spans="6:8" ht="12.75" customHeight="1" x14ac:dyDescent="0.2">
      <c r="F804" s="175"/>
      <c r="G804" s="175"/>
      <c r="H804" s="175"/>
    </row>
    <row r="805" spans="6:8" ht="12.75" customHeight="1" x14ac:dyDescent="0.2">
      <c r="F805" s="175"/>
      <c r="G805" s="175"/>
      <c r="H805" s="175"/>
    </row>
    <row r="806" spans="6:8" ht="12.75" customHeight="1" x14ac:dyDescent="0.2">
      <c r="F806" s="175"/>
      <c r="G806" s="175"/>
      <c r="H806" s="175"/>
    </row>
    <row r="807" spans="6:8" ht="12.75" customHeight="1" x14ac:dyDescent="0.2">
      <c r="F807" s="175"/>
      <c r="G807" s="175"/>
      <c r="H807" s="175"/>
    </row>
    <row r="808" spans="6:8" ht="12.75" customHeight="1" x14ac:dyDescent="0.2">
      <c r="F808" s="175"/>
      <c r="G808" s="175"/>
      <c r="H808" s="175"/>
    </row>
    <row r="809" spans="6:8" ht="12.75" customHeight="1" x14ac:dyDescent="0.2">
      <c r="F809" s="175"/>
      <c r="G809" s="175"/>
      <c r="H809" s="175"/>
    </row>
    <row r="810" spans="6:8" ht="12.75" customHeight="1" x14ac:dyDescent="0.2">
      <c r="F810" s="175"/>
      <c r="G810" s="175"/>
      <c r="H810" s="175"/>
    </row>
    <row r="811" spans="6:8" ht="12.75" customHeight="1" x14ac:dyDescent="0.2">
      <c r="F811" s="175"/>
      <c r="G811" s="175"/>
      <c r="H811" s="175"/>
    </row>
    <row r="812" spans="6:8" ht="12.75" customHeight="1" x14ac:dyDescent="0.2">
      <c r="F812" s="175"/>
      <c r="G812" s="175"/>
      <c r="H812" s="175"/>
    </row>
    <row r="813" spans="6:8" ht="12.75" customHeight="1" x14ac:dyDescent="0.2">
      <c r="F813" s="175"/>
      <c r="G813" s="175"/>
      <c r="H813" s="175"/>
    </row>
    <row r="814" spans="6:8" ht="12.75" customHeight="1" x14ac:dyDescent="0.2">
      <c r="F814" s="175"/>
      <c r="G814" s="175"/>
      <c r="H814" s="175"/>
    </row>
    <row r="815" spans="6:8" ht="12.75" customHeight="1" x14ac:dyDescent="0.2">
      <c r="F815" s="175"/>
      <c r="G815" s="175"/>
      <c r="H815" s="175"/>
    </row>
    <row r="816" spans="6:8" ht="12.75" customHeight="1" x14ac:dyDescent="0.2">
      <c r="F816" s="175"/>
      <c r="G816" s="175"/>
      <c r="H816" s="175"/>
    </row>
    <row r="817" spans="6:8" ht="12.75" customHeight="1" x14ac:dyDescent="0.2">
      <c r="F817" s="175"/>
      <c r="G817" s="175"/>
      <c r="H817" s="175"/>
    </row>
    <row r="818" spans="6:8" ht="12.75" customHeight="1" x14ac:dyDescent="0.2">
      <c r="F818" s="175"/>
      <c r="G818" s="175"/>
      <c r="H818" s="175"/>
    </row>
    <row r="819" spans="6:8" ht="12.75" customHeight="1" x14ac:dyDescent="0.2">
      <c r="F819" s="175"/>
      <c r="G819" s="175"/>
      <c r="H819" s="175"/>
    </row>
    <row r="820" spans="6:8" ht="12.75" customHeight="1" x14ac:dyDescent="0.2">
      <c r="F820" s="175"/>
      <c r="G820" s="175"/>
      <c r="H820" s="175"/>
    </row>
    <row r="821" spans="6:8" ht="12.75" customHeight="1" x14ac:dyDescent="0.2">
      <c r="F821" s="175"/>
      <c r="G821" s="175"/>
      <c r="H821" s="175"/>
    </row>
    <row r="822" spans="6:8" ht="12.75" customHeight="1" x14ac:dyDescent="0.2">
      <c r="F822" s="175"/>
      <c r="G822" s="175"/>
      <c r="H822" s="175"/>
    </row>
    <row r="823" spans="6:8" ht="12.75" customHeight="1" x14ac:dyDescent="0.2">
      <c r="F823" s="175"/>
      <c r="G823" s="175"/>
      <c r="H823" s="175"/>
    </row>
    <row r="824" spans="6:8" ht="12.75" customHeight="1" x14ac:dyDescent="0.2">
      <c r="F824" s="175"/>
      <c r="G824" s="175"/>
      <c r="H824" s="175"/>
    </row>
    <row r="825" spans="6:8" ht="12.75" customHeight="1" x14ac:dyDescent="0.2">
      <c r="F825" s="175"/>
      <c r="G825" s="175"/>
      <c r="H825" s="175"/>
    </row>
    <row r="826" spans="6:8" ht="12.75" customHeight="1" x14ac:dyDescent="0.2">
      <c r="F826" s="175"/>
      <c r="G826" s="175"/>
      <c r="H826" s="175"/>
    </row>
    <row r="827" spans="6:8" ht="12.75" customHeight="1" x14ac:dyDescent="0.2">
      <c r="F827" s="175"/>
      <c r="G827" s="175"/>
      <c r="H827" s="175"/>
    </row>
    <row r="828" spans="6:8" ht="12.75" customHeight="1" x14ac:dyDescent="0.2">
      <c r="F828" s="175"/>
      <c r="G828" s="175"/>
      <c r="H828" s="175"/>
    </row>
    <row r="829" spans="6:8" ht="12.75" customHeight="1" x14ac:dyDescent="0.2">
      <c r="F829" s="175"/>
      <c r="G829" s="175"/>
      <c r="H829" s="175"/>
    </row>
    <row r="830" spans="6:8" ht="12.75" customHeight="1" x14ac:dyDescent="0.2">
      <c r="F830" s="175"/>
      <c r="G830" s="175"/>
      <c r="H830" s="175"/>
    </row>
    <row r="831" spans="6:8" ht="12.75" customHeight="1" x14ac:dyDescent="0.2">
      <c r="F831" s="175"/>
      <c r="G831" s="175"/>
      <c r="H831" s="175"/>
    </row>
    <row r="832" spans="6:8" ht="12.75" customHeight="1" x14ac:dyDescent="0.2">
      <c r="F832" s="175"/>
      <c r="G832" s="175"/>
      <c r="H832" s="175"/>
    </row>
    <row r="833" spans="6:8" ht="12.75" customHeight="1" x14ac:dyDescent="0.2">
      <c r="F833" s="175"/>
      <c r="G833" s="175"/>
      <c r="H833" s="175"/>
    </row>
    <row r="834" spans="6:8" ht="12.75" customHeight="1" x14ac:dyDescent="0.2">
      <c r="F834" s="175"/>
      <c r="G834" s="175"/>
      <c r="H834" s="175"/>
    </row>
    <row r="835" spans="6:8" ht="12.75" customHeight="1" x14ac:dyDescent="0.2">
      <c r="F835" s="175"/>
      <c r="G835" s="175"/>
      <c r="H835" s="175"/>
    </row>
    <row r="836" spans="6:8" ht="12.75" customHeight="1" x14ac:dyDescent="0.2">
      <c r="F836" s="175"/>
      <c r="G836" s="175"/>
      <c r="H836" s="175"/>
    </row>
    <row r="837" spans="6:8" ht="12.75" customHeight="1" x14ac:dyDescent="0.2">
      <c r="F837" s="175"/>
      <c r="G837" s="175"/>
      <c r="H837" s="175"/>
    </row>
    <row r="838" spans="6:8" ht="12.75" customHeight="1" x14ac:dyDescent="0.2">
      <c r="F838" s="175"/>
      <c r="G838" s="175"/>
      <c r="H838" s="175"/>
    </row>
    <row r="839" spans="6:8" ht="12.75" customHeight="1" x14ac:dyDescent="0.2">
      <c r="F839" s="175"/>
      <c r="G839" s="175"/>
      <c r="H839" s="175"/>
    </row>
    <row r="840" spans="6:8" ht="12.75" customHeight="1" x14ac:dyDescent="0.2">
      <c r="F840" s="175"/>
      <c r="G840" s="175"/>
      <c r="H840" s="175"/>
    </row>
    <row r="841" spans="6:8" ht="12.75" customHeight="1" x14ac:dyDescent="0.2">
      <c r="F841" s="175"/>
      <c r="G841" s="175"/>
      <c r="H841" s="175"/>
    </row>
    <row r="842" spans="6:8" ht="12.75" customHeight="1" x14ac:dyDescent="0.2">
      <c r="F842" s="175"/>
      <c r="G842" s="175"/>
      <c r="H842" s="175"/>
    </row>
    <row r="843" spans="6:8" ht="12.75" customHeight="1" x14ac:dyDescent="0.2">
      <c r="F843" s="175"/>
      <c r="G843" s="175"/>
      <c r="H843" s="175"/>
    </row>
    <row r="844" spans="6:8" ht="12.75" customHeight="1" x14ac:dyDescent="0.2">
      <c r="F844" s="175"/>
      <c r="G844" s="175"/>
      <c r="H844" s="175"/>
    </row>
    <row r="845" spans="6:8" ht="12.75" customHeight="1" x14ac:dyDescent="0.2">
      <c r="F845" s="175"/>
      <c r="G845" s="175"/>
      <c r="H845" s="175"/>
    </row>
    <row r="846" spans="6:8" ht="12.75" customHeight="1" x14ac:dyDescent="0.2">
      <c r="F846" s="175"/>
      <c r="G846" s="175"/>
      <c r="H846" s="175"/>
    </row>
    <row r="847" spans="6:8" ht="12.75" customHeight="1" x14ac:dyDescent="0.2">
      <c r="F847" s="175"/>
      <c r="G847" s="175"/>
      <c r="H847" s="175"/>
    </row>
    <row r="848" spans="6:8" ht="12.75" customHeight="1" x14ac:dyDescent="0.2">
      <c r="F848" s="175"/>
      <c r="G848" s="175"/>
      <c r="H848" s="175"/>
    </row>
    <row r="849" spans="6:8" ht="12.75" customHeight="1" x14ac:dyDescent="0.2">
      <c r="F849" s="175"/>
      <c r="G849" s="175"/>
      <c r="H849" s="175"/>
    </row>
    <row r="850" spans="6:8" ht="12.75" customHeight="1" x14ac:dyDescent="0.2">
      <c r="F850" s="175"/>
      <c r="G850" s="175"/>
      <c r="H850" s="175"/>
    </row>
    <row r="851" spans="6:8" ht="12.75" customHeight="1" x14ac:dyDescent="0.2">
      <c r="F851" s="175"/>
      <c r="G851" s="175"/>
      <c r="H851" s="175"/>
    </row>
    <row r="852" spans="6:8" ht="12.75" customHeight="1" x14ac:dyDescent="0.2">
      <c r="F852" s="175"/>
      <c r="G852" s="175"/>
      <c r="H852" s="175"/>
    </row>
    <row r="853" spans="6:8" ht="12.75" customHeight="1" x14ac:dyDescent="0.2">
      <c r="F853" s="175"/>
      <c r="G853" s="175"/>
      <c r="H853" s="175"/>
    </row>
    <row r="854" spans="6:8" ht="12.75" customHeight="1" x14ac:dyDescent="0.2">
      <c r="F854" s="175"/>
      <c r="G854" s="175"/>
      <c r="H854" s="175"/>
    </row>
    <row r="855" spans="6:8" ht="12.75" customHeight="1" x14ac:dyDescent="0.2">
      <c r="F855" s="175"/>
      <c r="G855" s="175"/>
      <c r="H855" s="175"/>
    </row>
    <row r="856" spans="6:8" ht="12.75" customHeight="1" x14ac:dyDescent="0.2">
      <c r="F856" s="175"/>
      <c r="G856" s="175"/>
      <c r="H856" s="175"/>
    </row>
    <row r="857" spans="6:8" ht="12.75" customHeight="1" x14ac:dyDescent="0.2">
      <c r="F857" s="175"/>
      <c r="G857" s="175"/>
      <c r="H857" s="175"/>
    </row>
    <row r="858" spans="6:8" ht="12.75" customHeight="1" x14ac:dyDescent="0.2">
      <c r="F858" s="175"/>
      <c r="G858" s="175"/>
      <c r="H858" s="175"/>
    </row>
    <row r="859" spans="6:8" ht="12.75" customHeight="1" x14ac:dyDescent="0.2">
      <c r="F859" s="175"/>
      <c r="G859" s="175"/>
      <c r="H859" s="175"/>
    </row>
    <row r="860" spans="6:8" ht="12.75" customHeight="1" x14ac:dyDescent="0.2">
      <c r="F860" s="175"/>
      <c r="G860" s="175"/>
      <c r="H860" s="175"/>
    </row>
    <row r="861" spans="6:8" ht="12.75" customHeight="1" x14ac:dyDescent="0.2">
      <c r="F861" s="175"/>
      <c r="G861" s="175"/>
      <c r="H861" s="175"/>
    </row>
    <row r="862" spans="6:8" ht="12.75" customHeight="1" x14ac:dyDescent="0.2">
      <c r="F862" s="175"/>
      <c r="G862" s="175"/>
      <c r="H862" s="175"/>
    </row>
    <row r="863" spans="6:8" ht="12.75" customHeight="1" x14ac:dyDescent="0.2">
      <c r="F863" s="175"/>
      <c r="G863" s="175"/>
      <c r="H863" s="175"/>
    </row>
    <row r="864" spans="6:8" ht="12.75" customHeight="1" x14ac:dyDescent="0.2">
      <c r="F864" s="175"/>
      <c r="G864" s="175"/>
      <c r="H864" s="175"/>
    </row>
    <row r="865" spans="6:8" ht="12.75" customHeight="1" x14ac:dyDescent="0.2">
      <c r="F865" s="175"/>
      <c r="G865" s="175"/>
      <c r="H865" s="175"/>
    </row>
    <row r="866" spans="6:8" ht="12.75" customHeight="1" x14ac:dyDescent="0.2">
      <c r="F866" s="175"/>
      <c r="G866" s="175"/>
      <c r="H866" s="175"/>
    </row>
    <row r="867" spans="6:8" ht="12.75" customHeight="1" x14ac:dyDescent="0.2">
      <c r="F867" s="175"/>
      <c r="G867" s="175"/>
      <c r="H867" s="175"/>
    </row>
    <row r="868" spans="6:8" ht="12.75" customHeight="1" x14ac:dyDescent="0.2">
      <c r="F868" s="175"/>
      <c r="G868" s="175"/>
      <c r="H868" s="175"/>
    </row>
    <row r="869" spans="6:8" ht="12.75" customHeight="1" x14ac:dyDescent="0.2">
      <c r="F869" s="175"/>
      <c r="G869" s="175"/>
      <c r="H869" s="175"/>
    </row>
    <row r="870" spans="6:8" ht="12.75" customHeight="1" x14ac:dyDescent="0.2">
      <c r="F870" s="175"/>
      <c r="G870" s="175"/>
      <c r="H870" s="175"/>
    </row>
    <row r="871" spans="6:8" ht="12.75" customHeight="1" x14ac:dyDescent="0.2">
      <c r="F871" s="175"/>
      <c r="G871" s="175"/>
      <c r="H871" s="175"/>
    </row>
    <row r="872" spans="6:8" ht="12.75" customHeight="1" x14ac:dyDescent="0.2">
      <c r="F872" s="175"/>
      <c r="G872" s="175"/>
      <c r="H872" s="175"/>
    </row>
    <row r="873" spans="6:8" ht="12.75" customHeight="1" x14ac:dyDescent="0.2">
      <c r="F873" s="175"/>
      <c r="G873" s="175"/>
      <c r="H873" s="175"/>
    </row>
    <row r="874" spans="6:8" ht="12.75" customHeight="1" x14ac:dyDescent="0.2">
      <c r="F874" s="175"/>
      <c r="G874" s="175"/>
      <c r="H874" s="175"/>
    </row>
    <row r="875" spans="6:8" ht="12.75" customHeight="1" x14ac:dyDescent="0.2">
      <c r="F875" s="175"/>
      <c r="G875" s="175"/>
      <c r="H875" s="175"/>
    </row>
    <row r="876" spans="6:8" ht="12.75" customHeight="1" x14ac:dyDescent="0.2">
      <c r="F876" s="175"/>
      <c r="G876" s="175"/>
      <c r="H876" s="175"/>
    </row>
    <row r="877" spans="6:8" ht="12.75" customHeight="1" x14ac:dyDescent="0.2">
      <c r="F877" s="175"/>
      <c r="G877" s="175"/>
      <c r="H877" s="175"/>
    </row>
    <row r="878" spans="6:8" ht="12.75" customHeight="1" x14ac:dyDescent="0.2">
      <c r="F878" s="175"/>
      <c r="G878" s="175"/>
      <c r="H878" s="175"/>
    </row>
    <row r="879" spans="6:8" ht="12.75" customHeight="1" x14ac:dyDescent="0.2">
      <c r="F879" s="175"/>
      <c r="G879" s="175"/>
      <c r="H879" s="175"/>
    </row>
    <row r="880" spans="6:8" ht="12.75" customHeight="1" x14ac:dyDescent="0.2">
      <c r="F880" s="175"/>
      <c r="G880" s="175"/>
      <c r="H880" s="175"/>
    </row>
    <row r="881" spans="6:8" ht="12.75" customHeight="1" x14ac:dyDescent="0.2">
      <c r="F881" s="175"/>
      <c r="G881" s="175"/>
      <c r="H881" s="175"/>
    </row>
    <row r="882" spans="6:8" ht="12.75" customHeight="1" x14ac:dyDescent="0.2">
      <c r="F882" s="175"/>
      <c r="G882" s="175"/>
      <c r="H882" s="175"/>
    </row>
    <row r="883" spans="6:8" ht="12.75" customHeight="1" x14ac:dyDescent="0.2">
      <c r="F883" s="175"/>
      <c r="G883" s="175"/>
      <c r="H883" s="175"/>
    </row>
    <row r="884" spans="6:8" ht="12.75" customHeight="1" x14ac:dyDescent="0.2">
      <c r="F884" s="175"/>
      <c r="G884" s="175"/>
      <c r="H884" s="175"/>
    </row>
    <row r="885" spans="6:8" ht="12.75" customHeight="1" x14ac:dyDescent="0.2">
      <c r="F885" s="175"/>
      <c r="G885" s="175"/>
      <c r="H885" s="175"/>
    </row>
    <row r="886" spans="6:8" ht="12.75" customHeight="1" x14ac:dyDescent="0.2">
      <c r="F886" s="175"/>
      <c r="G886" s="175"/>
      <c r="H886" s="175"/>
    </row>
    <row r="887" spans="6:8" ht="12.75" customHeight="1" x14ac:dyDescent="0.2">
      <c r="F887" s="175"/>
      <c r="G887" s="175"/>
      <c r="H887" s="175"/>
    </row>
    <row r="888" spans="6:8" ht="12.75" customHeight="1" x14ac:dyDescent="0.2">
      <c r="F888" s="175"/>
      <c r="G888" s="175"/>
      <c r="H888" s="175"/>
    </row>
    <row r="889" spans="6:8" ht="12.75" customHeight="1" x14ac:dyDescent="0.2">
      <c r="F889" s="175"/>
      <c r="G889" s="175"/>
      <c r="H889" s="175"/>
    </row>
    <row r="890" spans="6:8" ht="12.75" customHeight="1" x14ac:dyDescent="0.2">
      <c r="F890" s="175"/>
      <c r="G890" s="175"/>
      <c r="H890" s="175"/>
    </row>
    <row r="891" spans="6:8" ht="12.75" customHeight="1" x14ac:dyDescent="0.2">
      <c r="F891" s="175"/>
      <c r="G891" s="175"/>
      <c r="H891" s="175"/>
    </row>
    <row r="892" spans="6:8" ht="12.75" customHeight="1" x14ac:dyDescent="0.2">
      <c r="F892" s="175"/>
      <c r="G892" s="175"/>
      <c r="H892" s="175"/>
    </row>
    <row r="893" spans="6:8" ht="12.75" customHeight="1" x14ac:dyDescent="0.2">
      <c r="F893" s="175"/>
      <c r="G893" s="175"/>
      <c r="H893" s="175"/>
    </row>
    <row r="894" spans="6:8" ht="12.75" customHeight="1" x14ac:dyDescent="0.2">
      <c r="F894" s="175"/>
      <c r="G894" s="175"/>
      <c r="H894" s="175"/>
    </row>
    <row r="895" spans="6:8" ht="12.75" customHeight="1" x14ac:dyDescent="0.2">
      <c r="F895" s="175"/>
      <c r="G895" s="175"/>
      <c r="H895" s="175"/>
    </row>
    <row r="896" spans="6:8" ht="12.75" customHeight="1" x14ac:dyDescent="0.2">
      <c r="F896" s="175"/>
      <c r="G896" s="175"/>
      <c r="H896" s="175"/>
    </row>
    <row r="897" spans="6:8" ht="12.75" customHeight="1" x14ac:dyDescent="0.2">
      <c r="F897" s="175"/>
      <c r="G897" s="175"/>
      <c r="H897" s="175"/>
    </row>
    <row r="898" spans="6:8" ht="12.75" customHeight="1" x14ac:dyDescent="0.2">
      <c r="F898" s="175"/>
      <c r="G898" s="175"/>
      <c r="H898" s="175"/>
    </row>
    <row r="899" spans="6:8" ht="12.75" customHeight="1" x14ac:dyDescent="0.2">
      <c r="F899" s="175"/>
      <c r="G899" s="175"/>
      <c r="H899" s="175"/>
    </row>
    <row r="900" spans="6:8" ht="12.75" customHeight="1" x14ac:dyDescent="0.2">
      <c r="F900" s="175"/>
      <c r="G900" s="175"/>
      <c r="H900" s="175"/>
    </row>
    <row r="901" spans="6:8" ht="12.75" customHeight="1" x14ac:dyDescent="0.2">
      <c r="F901" s="175"/>
      <c r="G901" s="175"/>
      <c r="H901" s="175"/>
    </row>
    <row r="902" spans="6:8" ht="12.75" customHeight="1" x14ac:dyDescent="0.2">
      <c r="F902" s="175"/>
      <c r="G902" s="175"/>
      <c r="H902" s="175"/>
    </row>
    <row r="903" spans="6:8" ht="12.75" customHeight="1" x14ac:dyDescent="0.2">
      <c r="F903" s="175"/>
      <c r="G903" s="175"/>
      <c r="H903" s="175"/>
    </row>
    <row r="904" spans="6:8" ht="12.75" customHeight="1" x14ac:dyDescent="0.2">
      <c r="F904" s="175"/>
      <c r="G904" s="175"/>
      <c r="H904" s="175"/>
    </row>
    <row r="905" spans="6:8" ht="12.75" customHeight="1" x14ac:dyDescent="0.2">
      <c r="F905" s="175"/>
      <c r="G905" s="175"/>
      <c r="H905" s="175"/>
    </row>
    <row r="906" spans="6:8" ht="12.75" customHeight="1" x14ac:dyDescent="0.2">
      <c r="F906" s="175"/>
      <c r="G906" s="175"/>
      <c r="H906" s="175"/>
    </row>
    <row r="907" spans="6:8" ht="12.75" customHeight="1" x14ac:dyDescent="0.2">
      <c r="F907" s="175"/>
      <c r="G907" s="175"/>
      <c r="H907" s="175"/>
    </row>
    <row r="908" spans="6:8" ht="12.75" customHeight="1" x14ac:dyDescent="0.2">
      <c r="F908" s="175"/>
      <c r="G908" s="175"/>
      <c r="H908" s="175"/>
    </row>
    <row r="909" spans="6:8" ht="12.75" customHeight="1" x14ac:dyDescent="0.2">
      <c r="F909" s="175"/>
      <c r="G909" s="175"/>
      <c r="H909" s="175"/>
    </row>
    <row r="910" spans="6:8" ht="12.75" customHeight="1" x14ac:dyDescent="0.2">
      <c r="F910" s="175"/>
      <c r="G910" s="175"/>
      <c r="H910" s="175"/>
    </row>
    <row r="911" spans="6:8" ht="12.75" customHeight="1" x14ac:dyDescent="0.2">
      <c r="F911" s="175"/>
      <c r="G911" s="175"/>
      <c r="H911" s="175"/>
    </row>
    <row r="912" spans="6:8" ht="12.75" customHeight="1" x14ac:dyDescent="0.2">
      <c r="F912" s="175"/>
      <c r="G912" s="175"/>
      <c r="H912" s="175"/>
    </row>
    <row r="913" spans="6:8" ht="12.75" customHeight="1" x14ac:dyDescent="0.2">
      <c r="F913" s="175"/>
      <c r="G913" s="175"/>
      <c r="H913" s="175"/>
    </row>
    <row r="914" spans="6:8" ht="12.75" customHeight="1" x14ac:dyDescent="0.2">
      <c r="F914" s="175"/>
      <c r="G914" s="175"/>
      <c r="H914" s="175"/>
    </row>
    <row r="915" spans="6:8" ht="12.75" customHeight="1" x14ac:dyDescent="0.2">
      <c r="F915" s="175"/>
      <c r="G915" s="175"/>
      <c r="H915" s="175"/>
    </row>
    <row r="916" spans="6:8" ht="12.75" customHeight="1" x14ac:dyDescent="0.2">
      <c r="F916" s="175"/>
      <c r="G916" s="175"/>
      <c r="H916" s="175"/>
    </row>
    <row r="917" spans="6:8" ht="12.75" customHeight="1" x14ac:dyDescent="0.2">
      <c r="F917" s="175"/>
      <c r="G917" s="175"/>
      <c r="H917" s="175"/>
    </row>
    <row r="918" spans="6:8" ht="12.75" customHeight="1" x14ac:dyDescent="0.2">
      <c r="F918" s="175"/>
      <c r="G918" s="175"/>
      <c r="H918" s="175"/>
    </row>
    <row r="919" spans="6:8" ht="12.75" customHeight="1" x14ac:dyDescent="0.2">
      <c r="F919" s="175"/>
      <c r="G919" s="175"/>
      <c r="H919" s="175"/>
    </row>
    <row r="920" spans="6:8" ht="12.75" customHeight="1" x14ac:dyDescent="0.2">
      <c r="F920" s="175"/>
      <c r="G920" s="175"/>
      <c r="H920" s="175"/>
    </row>
    <row r="921" spans="6:8" ht="12.75" customHeight="1" x14ac:dyDescent="0.2">
      <c r="F921" s="175"/>
      <c r="G921" s="175"/>
      <c r="H921" s="175"/>
    </row>
    <row r="922" spans="6:8" ht="12.75" customHeight="1" x14ac:dyDescent="0.2">
      <c r="F922" s="175"/>
      <c r="G922" s="175"/>
      <c r="H922" s="175"/>
    </row>
    <row r="923" spans="6:8" ht="12.75" customHeight="1" x14ac:dyDescent="0.2">
      <c r="F923" s="175"/>
      <c r="G923" s="175"/>
      <c r="H923" s="175"/>
    </row>
    <row r="924" spans="6:8" ht="12.75" customHeight="1" x14ac:dyDescent="0.2">
      <c r="F924" s="175"/>
      <c r="G924" s="175"/>
      <c r="H924" s="175"/>
    </row>
    <row r="925" spans="6:8" ht="12.75" customHeight="1" x14ac:dyDescent="0.2">
      <c r="F925" s="175"/>
      <c r="G925" s="175"/>
      <c r="H925" s="175"/>
    </row>
    <row r="926" spans="6:8" ht="12.75" customHeight="1" x14ac:dyDescent="0.2">
      <c r="F926" s="175"/>
      <c r="G926" s="175"/>
      <c r="H926" s="175"/>
    </row>
    <row r="927" spans="6:8" ht="12.75" customHeight="1" x14ac:dyDescent="0.2">
      <c r="F927" s="175"/>
      <c r="G927" s="175"/>
      <c r="H927" s="175"/>
    </row>
    <row r="928" spans="6:8" ht="12.75" customHeight="1" x14ac:dyDescent="0.2">
      <c r="F928" s="175"/>
      <c r="G928" s="175"/>
      <c r="H928" s="175"/>
    </row>
    <row r="929" spans="6:8" ht="12.75" customHeight="1" x14ac:dyDescent="0.2">
      <c r="F929" s="175"/>
      <c r="G929" s="175"/>
      <c r="H929" s="175"/>
    </row>
    <row r="930" spans="6:8" ht="12.75" customHeight="1" x14ac:dyDescent="0.2">
      <c r="F930" s="175"/>
      <c r="G930" s="175"/>
      <c r="H930" s="175"/>
    </row>
    <row r="931" spans="6:8" ht="12.75" customHeight="1" x14ac:dyDescent="0.2">
      <c r="F931" s="175"/>
      <c r="G931" s="175"/>
      <c r="H931" s="175"/>
    </row>
    <row r="932" spans="6:8" ht="12.75" customHeight="1" x14ac:dyDescent="0.2">
      <c r="F932" s="175"/>
      <c r="G932" s="175"/>
      <c r="H932" s="175"/>
    </row>
    <row r="933" spans="6:8" ht="12.75" customHeight="1" x14ac:dyDescent="0.2">
      <c r="F933" s="175"/>
      <c r="G933" s="175"/>
      <c r="H933" s="175"/>
    </row>
    <row r="934" spans="6:8" ht="12.75" customHeight="1" x14ac:dyDescent="0.2">
      <c r="F934" s="175"/>
      <c r="G934" s="175"/>
      <c r="H934" s="175"/>
    </row>
    <row r="935" spans="6:8" ht="12.75" customHeight="1" x14ac:dyDescent="0.2">
      <c r="F935" s="175"/>
      <c r="G935" s="175"/>
      <c r="H935" s="175"/>
    </row>
    <row r="936" spans="6:8" ht="12.75" customHeight="1" x14ac:dyDescent="0.2">
      <c r="F936" s="175"/>
      <c r="G936" s="175"/>
      <c r="H936" s="175"/>
    </row>
    <row r="937" spans="6:8" ht="12.75" customHeight="1" x14ac:dyDescent="0.2">
      <c r="F937" s="175"/>
      <c r="G937" s="175"/>
      <c r="H937" s="175"/>
    </row>
    <row r="938" spans="6:8" ht="12.75" customHeight="1" x14ac:dyDescent="0.2">
      <c r="F938" s="175"/>
      <c r="G938" s="175"/>
      <c r="H938" s="175"/>
    </row>
    <row r="939" spans="6:8" ht="12.75" customHeight="1" x14ac:dyDescent="0.2">
      <c r="F939" s="175"/>
      <c r="G939" s="175"/>
      <c r="H939" s="175"/>
    </row>
    <row r="940" spans="6:8" ht="12.75" customHeight="1" x14ac:dyDescent="0.2">
      <c r="F940" s="175"/>
      <c r="G940" s="175"/>
      <c r="H940" s="175"/>
    </row>
    <row r="941" spans="6:8" ht="12.75" customHeight="1" x14ac:dyDescent="0.2">
      <c r="F941" s="175"/>
      <c r="G941" s="175"/>
      <c r="H941" s="175"/>
    </row>
    <row r="942" spans="6:8" ht="12.75" customHeight="1" x14ac:dyDescent="0.2">
      <c r="F942" s="175"/>
      <c r="G942" s="175"/>
      <c r="H942" s="175"/>
    </row>
    <row r="943" spans="6:8" ht="12.75" customHeight="1" x14ac:dyDescent="0.2">
      <c r="F943" s="175"/>
      <c r="G943" s="175"/>
      <c r="H943" s="175"/>
    </row>
    <row r="944" spans="6:8" ht="12.75" customHeight="1" x14ac:dyDescent="0.2">
      <c r="F944" s="175"/>
      <c r="G944" s="175"/>
      <c r="H944" s="175"/>
    </row>
    <row r="945" spans="6:8" ht="12.75" customHeight="1" x14ac:dyDescent="0.2">
      <c r="F945" s="175"/>
      <c r="G945" s="175"/>
      <c r="H945" s="175"/>
    </row>
    <row r="946" spans="6:8" ht="12.75" customHeight="1" x14ac:dyDescent="0.2">
      <c r="F946" s="175"/>
      <c r="G946" s="175"/>
      <c r="H946" s="175"/>
    </row>
    <row r="947" spans="6:8" ht="12.75" customHeight="1" x14ac:dyDescent="0.2">
      <c r="F947" s="175"/>
      <c r="G947" s="175"/>
      <c r="H947" s="175"/>
    </row>
    <row r="948" spans="6:8" ht="12.75" customHeight="1" x14ac:dyDescent="0.2">
      <c r="F948" s="175"/>
      <c r="G948" s="175"/>
      <c r="H948" s="175"/>
    </row>
    <row r="949" spans="6:8" ht="12.75" customHeight="1" x14ac:dyDescent="0.2">
      <c r="F949" s="175"/>
      <c r="G949" s="175"/>
      <c r="H949" s="175"/>
    </row>
    <row r="950" spans="6:8" ht="12.75" customHeight="1" x14ac:dyDescent="0.2">
      <c r="F950" s="175"/>
      <c r="G950" s="175"/>
      <c r="H950" s="175"/>
    </row>
    <row r="951" spans="6:8" ht="12.75" customHeight="1" x14ac:dyDescent="0.2">
      <c r="F951" s="175"/>
      <c r="G951" s="175"/>
      <c r="H951" s="175"/>
    </row>
    <row r="952" spans="6:8" ht="12.75" customHeight="1" x14ac:dyDescent="0.2">
      <c r="F952" s="175"/>
      <c r="G952" s="175"/>
      <c r="H952" s="175"/>
    </row>
    <row r="953" spans="6:8" ht="12.75" customHeight="1" x14ac:dyDescent="0.2">
      <c r="F953" s="175"/>
      <c r="G953" s="175"/>
      <c r="H953" s="175"/>
    </row>
    <row r="954" spans="6:8" ht="12.75" customHeight="1" x14ac:dyDescent="0.2">
      <c r="F954" s="175"/>
      <c r="G954" s="175"/>
      <c r="H954" s="175"/>
    </row>
    <row r="955" spans="6:8" ht="12.75" customHeight="1" x14ac:dyDescent="0.2">
      <c r="F955" s="175"/>
      <c r="G955" s="175"/>
      <c r="H955" s="175"/>
    </row>
    <row r="956" spans="6:8" ht="12.75" customHeight="1" x14ac:dyDescent="0.2">
      <c r="F956" s="175"/>
      <c r="G956" s="175"/>
      <c r="H956" s="175"/>
    </row>
    <row r="957" spans="6:8" ht="12.75" customHeight="1" x14ac:dyDescent="0.2">
      <c r="F957" s="175"/>
      <c r="G957" s="175"/>
      <c r="H957" s="175"/>
    </row>
    <row r="958" spans="6:8" ht="12.75" customHeight="1" x14ac:dyDescent="0.2">
      <c r="F958" s="175"/>
      <c r="G958" s="175"/>
      <c r="H958" s="175"/>
    </row>
    <row r="959" spans="6:8" ht="12.75" customHeight="1" x14ac:dyDescent="0.2">
      <c r="F959" s="175"/>
      <c r="G959" s="175"/>
      <c r="H959" s="175"/>
    </row>
    <row r="960" spans="6:8" ht="12.75" customHeight="1" x14ac:dyDescent="0.2">
      <c r="F960" s="175"/>
      <c r="G960" s="175"/>
      <c r="H960" s="175"/>
    </row>
    <row r="961" spans="6:8" ht="12.75" customHeight="1" x14ac:dyDescent="0.2">
      <c r="F961" s="175"/>
      <c r="G961" s="175"/>
      <c r="H961" s="175"/>
    </row>
    <row r="962" spans="6:8" ht="12.75" customHeight="1" x14ac:dyDescent="0.2">
      <c r="F962" s="175"/>
      <c r="G962" s="175"/>
      <c r="H962" s="175"/>
    </row>
    <row r="963" spans="6:8" ht="12.75" customHeight="1" x14ac:dyDescent="0.2">
      <c r="F963" s="175"/>
      <c r="G963" s="175"/>
      <c r="H963" s="175"/>
    </row>
    <row r="964" spans="6:8" ht="12.75" customHeight="1" x14ac:dyDescent="0.2">
      <c r="F964" s="175"/>
      <c r="G964" s="175"/>
      <c r="H964" s="175"/>
    </row>
    <row r="965" spans="6:8" ht="12.75" customHeight="1" x14ac:dyDescent="0.2">
      <c r="F965" s="175"/>
      <c r="G965" s="175"/>
      <c r="H965" s="175"/>
    </row>
    <row r="966" spans="6:8" ht="12.75" customHeight="1" x14ac:dyDescent="0.2">
      <c r="F966" s="175"/>
      <c r="G966" s="175"/>
      <c r="H966" s="175"/>
    </row>
    <row r="967" spans="6:8" ht="12.75" customHeight="1" x14ac:dyDescent="0.2">
      <c r="F967" s="175"/>
      <c r="G967" s="175"/>
      <c r="H967" s="175"/>
    </row>
    <row r="968" spans="6:8" ht="12.75" customHeight="1" x14ac:dyDescent="0.2">
      <c r="F968" s="175"/>
      <c r="G968" s="175"/>
      <c r="H968" s="175"/>
    </row>
    <row r="969" spans="6:8" ht="12.75" customHeight="1" x14ac:dyDescent="0.2">
      <c r="F969" s="175"/>
      <c r="G969" s="175"/>
      <c r="H969" s="175"/>
    </row>
    <row r="970" spans="6:8" ht="12.75" customHeight="1" x14ac:dyDescent="0.2">
      <c r="F970" s="175"/>
      <c r="G970" s="175"/>
      <c r="H970" s="175"/>
    </row>
    <row r="971" spans="6:8" ht="12.75" customHeight="1" x14ac:dyDescent="0.2">
      <c r="F971" s="175"/>
      <c r="G971" s="175"/>
      <c r="H971" s="175"/>
    </row>
    <row r="972" spans="6:8" ht="12.75" customHeight="1" x14ac:dyDescent="0.2">
      <c r="F972" s="175"/>
      <c r="G972" s="175"/>
      <c r="H972" s="175"/>
    </row>
    <row r="973" spans="6:8" ht="12.75" customHeight="1" x14ac:dyDescent="0.2">
      <c r="F973" s="175"/>
      <c r="G973" s="175"/>
      <c r="H973" s="175"/>
    </row>
    <row r="974" spans="6:8" ht="12.75" customHeight="1" x14ac:dyDescent="0.2">
      <c r="F974" s="175"/>
      <c r="G974" s="175"/>
      <c r="H974" s="175"/>
    </row>
    <row r="975" spans="6:8" ht="12.75" customHeight="1" x14ac:dyDescent="0.2">
      <c r="F975" s="175"/>
      <c r="G975" s="175"/>
      <c r="H975" s="175"/>
    </row>
    <row r="976" spans="6:8" ht="12.75" customHeight="1" x14ac:dyDescent="0.2">
      <c r="F976" s="175"/>
      <c r="G976" s="175"/>
      <c r="H976" s="175"/>
    </row>
    <row r="977" spans="6:8" ht="12.75" customHeight="1" x14ac:dyDescent="0.2">
      <c r="F977" s="175"/>
      <c r="G977" s="175"/>
      <c r="H977" s="175"/>
    </row>
    <row r="978" spans="6:8" ht="12.75" customHeight="1" x14ac:dyDescent="0.2">
      <c r="F978" s="175"/>
      <c r="G978" s="175"/>
      <c r="H978" s="175"/>
    </row>
    <row r="979" spans="6:8" ht="12.75" customHeight="1" x14ac:dyDescent="0.2">
      <c r="F979" s="175"/>
      <c r="G979" s="175"/>
      <c r="H979" s="175"/>
    </row>
    <row r="980" spans="6:8" ht="12.75" customHeight="1" x14ac:dyDescent="0.2">
      <c r="F980" s="175"/>
      <c r="G980" s="175"/>
      <c r="H980" s="175"/>
    </row>
    <row r="981" spans="6:8" ht="12.75" customHeight="1" x14ac:dyDescent="0.2">
      <c r="F981" s="175"/>
      <c r="G981" s="175"/>
      <c r="H981" s="175"/>
    </row>
    <row r="982" spans="6:8" ht="12.75" customHeight="1" x14ac:dyDescent="0.2">
      <c r="F982" s="175"/>
      <c r="G982" s="175"/>
      <c r="H982" s="175"/>
    </row>
    <row r="983" spans="6:8" ht="12.75" customHeight="1" x14ac:dyDescent="0.2">
      <c r="F983" s="175"/>
      <c r="G983" s="175"/>
      <c r="H983" s="175"/>
    </row>
    <row r="984" spans="6:8" ht="12.75" customHeight="1" x14ac:dyDescent="0.2">
      <c r="F984" s="175"/>
      <c r="G984" s="175"/>
      <c r="H984" s="175"/>
    </row>
    <row r="985" spans="6:8" ht="12.75" customHeight="1" x14ac:dyDescent="0.2">
      <c r="F985" s="175"/>
      <c r="G985" s="175"/>
      <c r="H985" s="175"/>
    </row>
    <row r="986" spans="6:8" ht="12.75" customHeight="1" x14ac:dyDescent="0.2">
      <c r="F986" s="175"/>
      <c r="G986" s="175"/>
      <c r="H986" s="175"/>
    </row>
    <row r="987" spans="6:8" ht="12.75" customHeight="1" x14ac:dyDescent="0.2">
      <c r="F987" s="175"/>
      <c r="G987" s="175"/>
      <c r="H987" s="175"/>
    </row>
    <row r="988" spans="6:8" ht="12.75" customHeight="1" x14ac:dyDescent="0.2">
      <c r="F988" s="175"/>
      <c r="G988" s="175"/>
      <c r="H988" s="175"/>
    </row>
    <row r="989" spans="6:8" ht="12.75" customHeight="1" x14ac:dyDescent="0.2">
      <c r="F989" s="175"/>
      <c r="G989" s="175"/>
      <c r="H989" s="175"/>
    </row>
    <row r="990" spans="6:8" ht="12.75" customHeight="1" x14ac:dyDescent="0.2">
      <c r="F990" s="175"/>
      <c r="G990" s="175"/>
      <c r="H990" s="175"/>
    </row>
    <row r="991" spans="6:8" ht="12.75" customHeight="1" x14ac:dyDescent="0.2">
      <c r="F991" s="175"/>
      <c r="G991" s="175"/>
      <c r="H991" s="175"/>
    </row>
    <row r="992" spans="6:8" ht="12.75" customHeight="1" x14ac:dyDescent="0.2">
      <c r="F992" s="175"/>
      <c r="G992" s="175"/>
      <c r="H992" s="175"/>
    </row>
    <row r="993" spans="6:8" ht="12.75" customHeight="1" x14ac:dyDescent="0.2">
      <c r="F993" s="175"/>
      <c r="G993" s="175"/>
      <c r="H993" s="175"/>
    </row>
    <row r="994" spans="6:8" ht="12.75" customHeight="1" x14ac:dyDescent="0.2">
      <c r="F994" s="175"/>
      <c r="G994" s="175"/>
      <c r="H994" s="175"/>
    </row>
    <row r="995" spans="6:8" ht="12.75" customHeight="1" x14ac:dyDescent="0.2">
      <c r="F995" s="175"/>
      <c r="G995" s="175"/>
      <c r="H995" s="175"/>
    </row>
    <row r="996" spans="6:8" ht="12.75" customHeight="1" x14ac:dyDescent="0.2">
      <c r="F996" s="175"/>
      <c r="G996" s="175"/>
      <c r="H996" s="175"/>
    </row>
    <row r="997" spans="6:8" ht="12.75" customHeight="1" x14ac:dyDescent="0.2">
      <c r="F997" s="175"/>
      <c r="G997" s="175"/>
      <c r="H997" s="175"/>
    </row>
    <row r="998" spans="6:8" ht="12.75" customHeight="1" x14ac:dyDescent="0.2">
      <c r="F998" s="175"/>
      <c r="G998" s="175"/>
      <c r="H998" s="175"/>
    </row>
    <row r="999" spans="6:8" ht="12.75" customHeight="1" x14ac:dyDescent="0.2">
      <c r="F999" s="175"/>
      <c r="G999" s="175"/>
      <c r="H999" s="175"/>
    </row>
    <row r="1000" spans="6:8" ht="12.75" customHeight="1" x14ac:dyDescent="0.2">
      <c r="F1000" s="175"/>
      <c r="G1000" s="175"/>
      <c r="H1000" s="175"/>
    </row>
  </sheetData>
  <dataValidations count="1">
    <dataValidation type="list" allowBlank="1" showErrorMessage="1" sqref="F1" xr:uid="{995235B3-2CA7-4777-A663-6675AD0B5CC5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999"/>
  <sheetViews>
    <sheetView workbookViewId="0">
      <pane xSplit="2" ySplit="4" topLeftCell="G14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J15" sqref="J15"/>
    </sheetView>
  </sheetViews>
  <sheetFormatPr defaultColWidth="12.5703125" defaultRowHeight="15" customHeight="1" x14ac:dyDescent="0.2"/>
  <cols>
    <col min="1" max="1" width="13.5703125" customWidth="1"/>
    <col min="2" max="2" width="4.85546875" customWidth="1"/>
    <col min="3" max="3" width="8.42578125" customWidth="1"/>
    <col min="4" max="4" width="10.140625" customWidth="1"/>
    <col min="5" max="5" width="36.28515625" customWidth="1"/>
    <col min="6" max="6" width="13.42578125" customWidth="1"/>
    <col min="7" max="8" width="14.7109375" customWidth="1"/>
    <col min="9" max="9" width="16.85546875" customWidth="1"/>
    <col min="10" max="10" width="12.28515625" customWidth="1"/>
    <col min="11" max="11" width="11.5703125" customWidth="1"/>
    <col min="12" max="12" width="10.140625" customWidth="1"/>
    <col min="13" max="26" width="8.5703125" customWidth="1"/>
  </cols>
  <sheetData>
    <row r="1" spans="1:10" ht="12.75" customHeight="1" x14ac:dyDescent="0.2">
      <c r="C1" t="s">
        <v>127</v>
      </c>
      <c r="E1" s="104" t="s">
        <v>129</v>
      </c>
      <c r="F1" s="104" t="s">
        <v>175</v>
      </c>
      <c r="G1" s="150" t="s">
        <v>123</v>
      </c>
      <c r="H1" s="34" t="s">
        <v>52</v>
      </c>
      <c r="I1" s="147"/>
      <c r="J1" s="122"/>
    </row>
    <row r="2" spans="1:10" ht="12.75" customHeight="1" x14ac:dyDescent="0.2">
      <c r="E2" s="104" t="s">
        <v>130</v>
      </c>
      <c r="F2" s="36">
        <v>5100</v>
      </c>
      <c r="G2" s="151">
        <v>3</v>
      </c>
      <c r="H2" s="105">
        <v>35</v>
      </c>
      <c r="I2" s="153" t="s">
        <v>41</v>
      </c>
      <c r="J2" s="104"/>
    </row>
    <row r="3" spans="1:10" ht="12.75" customHeight="1" x14ac:dyDescent="0.25">
      <c r="A3" s="30">
        <f>COUNTIF(A7:A65406, "&lt;&gt;")</f>
        <v>94</v>
      </c>
      <c r="D3" s="35" t="str">
        <f t="array" ref="D3">INDEX(D7:D65405, A3)</f>
        <v>10/8/2023</v>
      </c>
      <c r="E3" s="122"/>
      <c r="F3" s="105"/>
      <c r="G3" s="149" t="s">
        <v>40</v>
      </c>
      <c r="H3" s="152">
        <f t="array" ref="H3">INDEX(H6:H65405, A3)</f>
        <v>0</v>
      </c>
      <c r="I3" s="154">
        <v>45329</v>
      </c>
      <c r="J3" s="105"/>
    </row>
    <row r="4" spans="1:10" ht="12.75" customHeight="1" x14ac:dyDescent="0.2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t="s">
        <v>188</v>
      </c>
      <c r="B5" s="163" t="s">
        <v>125</v>
      </c>
    </row>
    <row r="6" spans="1:10" ht="12.75" customHeight="1" x14ac:dyDescent="0.2">
      <c r="A6" s="163" t="s">
        <v>177</v>
      </c>
      <c r="B6" s="163" t="s">
        <v>125</v>
      </c>
    </row>
    <row r="7" spans="1:10" ht="12.75" customHeight="1" x14ac:dyDescent="0.2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H6+G7-F7</f>
        <v>-500</v>
      </c>
    </row>
    <row r="8" spans="1:10" ht="12.75" customHeight="1" x14ac:dyDescent="0.2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 t="shared" ref="D9:D10" si="4"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 t="shared" si="4"/>
        <v>43869</v>
      </c>
      <c r="E10" s="39" t="s">
        <v>56</v>
      </c>
      <c r="F10" s="36"/>
      <c r="G10" s="36">
        <v>500</v>
      </c>
      <c r="H10" s="46">
        <f t="shared" si="3"/>
        <v>9900</v>
      </c>
    </row>
    <row r="11" spans="1:10" ht="12.75" customHeight="1" x14ac:dyDescent="0.2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57</v>
      </c>
      <c r="F20" s="36">
        <v>873.87</v>
      </c>
      <c r="G20" s="36"/>
      <c r="H20" s="46">
        <f t="shared" si="3"/>
        <v>-873.87</v>
      </c>
    </row>
    <row r="21" spans="1:9" ht="12.75" customHeight="1" x14ac:dyDescent="0.2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 t="shared" ref="D29:D30" si="5"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">
      <c r="A30" s="37"/>
      <c r="B30" s="37"/>
      <c r="C30" s="37"/>
      <c r="D30" s="40" t="str">
        <f t="shared" si="5"/>
        <v>11/8/2020</v>
      </c>
      <c r="E30" s="39" t="s">
        <v>58</v>
      </c>
      <c r="F30" s="36"/>
      <c r="G30" s="36">
        <v>350</v>
      </c>
      <c r="H30" s="46">
        <f t="shared" si="3"/>
        <v>5300</v>
      </c>
    </row>
    <row r="31" spans="1:9" ht="12.75" customHeight="1" x14ac:dyDescent="0.2">
      <c r="A31" s="37">
        <f t="shared" ref="A31:A67" si="6">MONTH(D31)</f>
        <v>11</v>
      </c>
      <c r="B31" s="37">
        <f t="shared" ref="B31:B67" si="7">YEAR(D31)</f>
        <v>2020</v>
      </c>
      <c r="C31" s="37" t="str">
        <f t="shared" ref="C31:C67" si="8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">
      <c r="A32" s="37">
        <f t="shared" si="6"/>
        <v>12</v>
      </c>
      <c r="B32" s="37">
        <f t="shared" si="7"/>
        <v>2020</v>
      </c>
      <c r="C32" s="37" t="str">
        <f t="shared" si="8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">
      <c r="A33" s="37">
        <f t="shared" si="6"/>
        <v>12</v>
      </c>
      <c r="B33" s="37">
        <f t="shared" si="7"/>
        <v>2020</v>
      </c>
      <c r="C33" s="37" t="str">
        <f t="shared" si="8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">
      <c r="A34" s="37">
        <f t="shared" si="6"/>
        <v>1</v>
      </c>
      <c r="B34" s="37">
        <f t="shared" si="7"/>
        <v>2020</v>
      </c>
      <c r="C34" s="37" t="str">
        <f t="shared" si="8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">
      <c r="A35" s="37">
        <f t="shared" si="6"/>
        <v>1</v>
      </c>
      <c r="B35" s="37">
        <f t="shared" si="7"/>
        <v>2021</v>
      </c>
      <c r="C35" s="37" t="str">
        <f t="shared" si="8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">
      <c r="A36" s="37">
        <f t="shared" si="6"/>
        <v>2</v>
      </c>
      <c r="B36" s="37">
        <f t="shared" si="7"/>
        <v>2021</v>
      </c>
      <c r="C36" s="37" t="str">
        <f t="shared" si="8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">
      <c r="A37" s="37">
        <f t="shared" si="6"/>
        <v>2</v>
      </c>
      <c r="B37" s="37">
        <f t="shared" si="7"/>
        <v>2021</v>
      </c>
      <c r="C37" s="37" t="str">
        <f t="shared" si="8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">
      <c r="A38" s="37">
        <f t="shared" si="6"/>
        <v>3</v>
      </c>
      <c r="B38" s="37">
        <f t="shared" si="7"/>
        <v>2021</v>
      </c>
      <c r="C38" s="37" t="str">
        <f t="shared" si="8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">
      <c r="A39" s="37">
        <f t="shared" si="6"/>
        <v>3</v>
      </c>
      <c r="B39" s="37">
        <f t="shared" si="7"/>
        <v>2021</v>
      </c>
      <c r="C39" s="37" t="str">
        <f t="shared" si="8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">
      <c r="A40" s="37">
        <f t="shared" si="6"/>
        <v>4</v>
      </c>
      <c r="B40" s="37">
        <f t="shared" si="7"/>
        <v>2021</v>
      </c>
      <c r="C40" s="37" t="str">
        <f t="shared" si="8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">
      <c r="A41" s="37">
        <f t="shared" si="6"/>
        <v>4</v>
      </c>
      <c r="B41" s="37">
        <f t="shared" si="7"/>
        <v>2021</v>
      </c>
      <c r="C41" s="37" t="str">
        <f t="shared" si="8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">
      <c r="A42" s="37">
        <f t="shared" si="6"/>
        <v>5</v>
      </c>
      <c r="B42" s="37">
        <f t="shared" si="7"/>
        <v>2021</v>
      </c>
      <c r="C42" s="37" t="str">
        <f t="shared" si="8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">
      <c r="A43" s="37">
        <f t="shared" si="6"/>
        <v>5</v>
      </c>
      <c r="B43" s="37">
        <f t="shared" si="7"/>
        <v>2021</v>
      </c>
      <c r="C43" s="37" t="str">
        <f t="shared" si="8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">
      <c r="A44" s="37">
        <f t="shared" si="6"/>
        <v>6</v>
      </c>
      <c r="B44" s="37">
        <f t="shared" si="7"/>
        <v>2021</v>
      </c>
      <c r="C44" s="37" t="str">
        <f t="shared" si="8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">
      <c r="A45" s="37">
        <f t="shared" si="6"/>
        <v>6</v>
      </c>
      <c r="B45" s="37">
        <f t="shared" si="7"/>
        <v>2021</v>
      </c>
      <c r="C45" s="37" t="str">
        <f t="shared" si="8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">
      <c r="A46" s="37">
        <f t="shared" si="6"/>
        <v>7</v>
      </c>
      <c r="B46" s="37">
        <f t="shared" si="7"/>
        <v>2021</v>
      </c>
      <c r="C46" s="37" t="str">
        <f t="shared" si="8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">
      <c r="A47" s="37">
        <f t="shared" si="6"/>
        <v>7</v>
      </c>
      <c r="B47" s="37">
        <f t="shared" si="7"/>
        <v>2021</v>
      </c>
      <c r="C47" s="37" t="str">
        <f t="shared" si="8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">
      <c r="A48" s="37">
        <f t="shared" si="6"/>
        <v>8</v>
      </c>
      <c r="B48" s="37">
        <f t="shared" si="7"/>
        <v>2021</v>
      </c>
      <c r="C48" s="37" t="str">
        <f t="shared" si="8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">
      <c r="A49" s="37">
        <f t="shared" si="6"/>
        <v>8</v>
      </c>
      <c r="B49" s="37">
        <f t="shared" si="7"/>
        <v>2021</v>
      </c>
      <c r="C49" s="37" t="str">
        <f t="shared" si="8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">
      <c r="A50" s="37">
        <f t="shared" si="6"/>
        <v>9</v>
      </c>
      <c r="B50" s="37">
        <f t="shared" si="7"/>
        <v>2021</v>
      </c>
      <c r="C50" s="37" t="str">
        <f t="shared" si="8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">
      <c r="A51" s="37">
        <f t="shared" si="6"/>
        <v>9</v>
      </c>
      <c r="B51" s="37">
        <f t="shared" si="7"/>
        <v>2021</v>
      </c>
      <c r="C51" s="37" t="str">
        <f t="shared" si="8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">
      <c r="A52" s="37">
        <f t="shared" si="6"/>
        <v>10</v>
      </c>
      <c r="B52" s="37">
        <f t="shared" si="7"/>
        <v>2021</v>
      </c>
      <c r="C52" s="37" t="str">
        <f t="shared" si="8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">
      <c r="A53" s="37">
        <f t="shared" si="6"/>
        <v>10</v>
      </c>
      <c r="B53" s="37">
        <f t="shared" si="7"/>
        <v>2021</v>
      </c>
      <c r="C53" s="37" t="str">
        <f t="shared" si="8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">
      <c r="A54" s="37">
        <f t="shared" si="6"/>
        <v>11</v>
      </c>
      <c r="B54" s="37">
        <f t="shared" si="7"/>
        <v>2021</v>
      </c>
      <c r="C54" s="37" t="str">
        <f t="shared" si="8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">
      <c r="A55" s="37">
        <f t="shared" si="6"/>
        <v>11</v>
      </c>
      <c r="B55" s="37">
        <f t="shared" si="7"/>
        <v>2021</v>
      </c>
      <c r="C55" s="37" t="str">
        <f t="shared" si="8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">
      <c r="A56" s="37">
        <f t="shared" si="6"/>
        <v>12</v>
      </c>
      <c r="B56" s="37">
        <f t="shared" si="7"/>
        <v>2021</v>
      </c>
      <c r="C56" s="37" t="str">
        <f t="shared" si="8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">
      <c r="A57" s="37">
        <f t="shared" si="6"/>
        <v>12</v>
      </c>
      <c r="B57" s="37">
        <f t="shared" si="7"/>
        <v>2021</v>
      </c>
      <c r="C57" s="37" t="str">
        <f t="shared" si="8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">
      <c r="A58" s="37">
        <f t="shared" si="6"/>
        <v>1</v>
      </c>
      <c r="B58" s="37">
        <f t="shared" si="7"/>
        <v>2022</v>
      </c>
      <c r="C58" s="37" t="str">
        <f t="shared" si="8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">
      <c r="A59" s="37">
        <f t="shared" si="6"/>
        <v>1</v>
      </c>
      <c r="B59" s="37">
        <f t="shared" si="7"/>
        <v>2022</v>
      </c>
      <c r="C59" s="37" t="str">
        <f t="shared" si="8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">
      <c r="A60" s="37">
        <f t="shared" si="6"/>
        <v>2</v>
      </c>
      <c r="B60" s="37">
        <f t="shared" si="7"/>
        <v>2022</v>
      </c>
      <c r="C60" s="37" t="str">
        <f t="shared" si="8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">
      <c r="A61" s="37">
        <f t="shared" si="6"/>
        <v>2</v>
      </c>
      <c r="B61" s="37">
        <f t="shared" si="7"/>
        <v>2022</v>
      </c>
      <c r="C61" s="37" t="str">
        <f t="shared" si="8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">
      <c r="A62" s="37">
        <f t="shared" si="6"/>
        <v>3</v>
      </c>
      <c r="B62" s="37">
        <f t="shared" si="7"/>
        <v>2022</v>
      </c>
      <c r="C62" s="37" t="str">
        <f t="shared" si="8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">
      <c r="A63" s="37">
        <f t="shared" si="6"/>
        <v>3</v>
      </c>
      <c r="B63" s="37">
        <f t="shared" si="7"/>
        <v>2022</v>
      </c>
      <c r="C63" s="37" t="str">
        <f t="shared" si="8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">
      <c r="A64" s="37">
        <f t="shared" si="6"/>
        <v>4</v>
      </c>
      <c r="B64" s="37">
        <f t="shared" si="7"/>
        <v>2022</v>
      </c>
      <c r="C64" s="37" t="str">
        <f t="shared" si="8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">
      <c r="A65" s="37">
        <f t="shared" si="6"/>
        <v>4</v>
      </c>
      <c r="B65" s="37">
        <f t="shared" si="7"/>
        <v>2022</v>
      </c>
      <c r="C65" s="37" t="str">
        <f t="shared" si="8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">
      <c r="A66" s="37">
        <f t="shared" si="6"/>
        <v>5</v>
      </c>
      <c r="B66" s="37">
        <f t="shared" si="7"/>
        <v>2022</v>
      </c>
      <c r="C66" s="37" t="str">
        <f t="shared" si="8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">
      <c r="A67" s="37">
        <f t="shared" si="6"/>
        <v>5</v>
      </c>
      <c r="B67" s="37">
        <f t="shared" si="7"/>
        <v>2022</v>
      </c>
      <c r="C67" s="37" t="str">
        <f t="shared" si="8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">
      <c r="A68" s="37">
        <f t="shared" ref="A68:A73" si="9">MONTH(D68)</f>
        <v>6</v>
      </c>
      <c r="B68" s="37">
        <f t="shared" ref="B68:B73" si="10">YEAR(D68)</f>
        <v>2022</v>
      </c>
      <c r="C68" s="37" t="str">
        <f t="shared" ref="C68:C73" si="11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2">H67+G68-F68</f>
        <v>4950</v>
      </c>
    </row>
    <row r="69" spans="1:8" ht="12.75" customHeight="1" x14ac:dyDescent="0.2">
      <c r="A69" s="37">
        <f t="shared" si="9"/>
        <v>6</v>
      </c>
      <c r="B69" s="37">
        <f t="shared" si="10"/>
        <v>2022</v>
      </c>
      <c r="C69" s="37" t="str">
        <f t="shared" si="11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2"/>
        <v>0</v>
      </c>
    </row>
    <row r="70" spans="1:8" ht="12.75" customHeight="1" x14ac:dyDescent="0.2">
      <c r="A70" s="37">
        <f t="shared" si="9"/>
        <v>7</v>
      </c>
      <c r="B70" s="37">
        <f t="shared" si="10"/>
        <v>2022</v>
      </c>
      <c r="C70" s="37" t="str">
        <f t="shared" si="11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2"/>
        <v>4950</v>
      </c>
    </row>
    <row r="71" spans="1:8" ht="12.75" customHeight="1" x14ac:dyDescent="0.2">
      <c r="A71" s="37">
        <f t="shared" si="9"/>
        <v>7</v>
      </c>
      <c r="B71" s="37">
        <f t="shared" si="10"/>
        <v>2022</v>
      </c>
      <c r="C71" s="37" t="str">
        <f t="shared" si="11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2"/>
        <v>0</v>
      </c>
    </row>
    <row r="72" spans="1:8" ht="12.75" customHeight="1" x14ac:dyDescent="0.2">
      <c r="A72" s="37">
        <f t="shared" si="9"/>
        <v>8</v>
      </c>
      <c r="B72" s="37">
        <f t="shared" si="10"/>
        <v>2022</v>
      </c>
      <c r="C72" s="37" t="str">
        <f t="shared" si="11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2"/>
        <v>4950</v>
      </c>
    </row>
    <row r="73" spans="1:8" ht="12.75" customHeight="1" x14ac:dyDescent="0.2">
      <c r="A73" s="37">
        <f t="shared" si="9"/>
        <v>8</v>
      </c>
      <c r="B73" s="37">
        <f t="shared" si="10"/>
        <v>2022</v>
      </c>
      <c r="C73" s="37" t="str">
        <f t="shared" si="11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2"/>
        <v>0</v>
      </c>
    </row>
    <row r="74" spans="1:8" ht="12.75" customHeight="1" x14ac:dyDescent="0.2">
      <c r="A74" s="37">
        <f t="shared" ref="A74:A79" si="13">MONTH(D74)</f>
        <v>9</v>
      </c>
      <c r="B74" s="37">
        <f t="shared" ref="B74:B79" si="14">YEAR(D74)</f>
        <v>2022</v>
      </c>
      <c r="C74" s="37" t="str">
        <f t="shared" ref="C74:C79" si="15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6">H73+G74-F74</f>
        <v>4950</v>
      </c>
    </row>
    <row r="75" spans="1:8" ht="12.75" customHeight="1" x14ac:dyDescent="0.2">
      <c r="A75" s="37">
        <f t="shared" si="13"/>
        <v>9</v>
      </c>
      <c r="B75" s="37">
        <f t="shared" si="14"/>
        <v>2022</v>
      </c>
      <c r="C75" s="37" t="str">
        <f t="shared" si="15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6"/>
        <v>0</v>
      </c>
    </row>
    <row r="76" spans="1:8" ht="12.75" customHeight="1" x14ac:dyDescent="0.2">
      <c r="A76" s="37">
        <f t="shared" si="13"/>
        <v>10</v>
      </c>
      <c r="B76" s="37">
        <f t="shared" si="14"/>
        <v>2022</v>
      </c>
      <c r="C76" s="37" t="str">
        <f t="shared" si="15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6"/>
        <v>4950</v>
      </c>
    </row>
    <row r="77" spans="1:8" ht="12.75" customHeight="1" x14ac:dyDescent="0.2">
      <c r="A77" s="37">
        <f t="shared" si="13"/>
        <v>10</v>
      </c>
      <c r="B77" s="37">
        <f t="shared" si="14"/>
        <v>2022</v>
      </c>
      <c r="C77" s="37" t="str">
        <f t="shared" si="15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6"/>
        <v>0</v>
      </c>
    </row>
    <row r="78" spans="1:8" ht="12.75" customHeight="1" x14ac:dyDescent="0.2">
      <c r="A78" s="37">
        <f t="shared" si="13"/>
        <v>11</v>
      </c>
      <c r="B78" s="37">
        <f t="shared" si="14"/>
        <v>2022</v>
      </c>
      <c r="C78" s="37" t="str">
        <f t="shared" si="15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6"/>
        <v>4950</v>
      </c>
    </row>
    <row r="79" spans="1:8" ht="12.75" customHeight="1" x14ac:dyDescent="0.2">
      <c r="A79" s="37">
        <f t="shared" si="13"/>
        <v>11</v>
      </c>
      <c r="B79" s="37">
        <f t="shared" si="14"/>
        <v>2022</v>
      </c>
      <c r="C79" s="37" t="str">
        <f t="shared" si="15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6"/>
        <v>0</v>
      </c>
    </row>
    <row r="80" spans="1:8" ht="12.75" customHeight="1" x14ac:dyDescent="0.2">
      <c r="A80" s="37">
        <f t="shared" ref="A80:A99" si="17">MONTH(D80)</f>
        <v>12</v>
      </c>
      <c r="B80" s="37">
        <f t="shared" ref="B80:B99" si="18">YEAR(D80)</f>
        <v>2022</v>
      </c>
      <c r="C80" s="37" t="str">
        <f t="shared" ref="C80:C99" si="19"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 t="shared" ref="H80:H99" si="20">H79+G80-F80</f>
        <v>4950</v>
      </c>
    </row>
    <row r="81" spans="1:11" ht="12.75" customHeight="1" x14ac:dyDescent="0.2">
      <c r="A81" s="37">
        <f t="shared" si="17"/>
        <v>12</v>
      </c>
      <c r="B81" s="37">
        <f t="shared" si="18"/>
        <v>2022</v>
      </c>
      <c r="C81" s="37" t="str">
        <f t="shared" si="19"/>
        <v>Income: 1</v>
      </c>
      <c r="D81" s="28">
        <v>44900</v>
      </c>
      <c r="E81" s="30" t="s">
        <v>51</v>
      </c>
      <c r="F81" s="36">
        <v>4950</v>
      </c>
      <c r="G81" s="36"/>
      <c r="H81" s="46">
        <f t="shared" si="20"/>
        <v>0</v>
      </c>
    </row>
    <row r="82" spans="1:11" ht="12.75" customHeight="1" x14ac:dyDescent="0.2">
      <c r="A82" s="199">
        <f t="shared" si="17"/>
        <v>1</v>
      </c>
      <c r="B82" s="199">
        <f t="shared" si="18"/>
        <v>2022</v>
      </c>
      <c r="C82" s="199" t="str">
        <f t="shared" si="19"/>
        <v>Rent: 1</v>
      </c>
      <c r="D82" s="40" t="str">
        <f>MOD(MONTH(D80), 12)+1 &amp; "/8/" &amp; YEAR(D81)</f>
        <v>1/8/2022</v>
      </c>
      <c r="E82" s="204" t="str">
        <f>"Rent: "&amp;LOOKUP(A81-1, Months, TextMonths)&amp;" '"&amp;B81</f>
        <v>Rent: Dec '2022</v>
      </c>
      <c r="F82" s="162"/>
      <c r="G82" s="162">
        <v>4950</v>
      </c>
      <c r="H82" s="46">
        <f t="shared" si="20"/>
        <v>4950</v>
      </c>
    </row>
    <row r="83" spans="1:11" ht="12.75" customHeight="1" x14ac:dyDescent="0.2">
      <c r="A83" s="199">
        <f t="shared" si="17"/>
        <v>1</v>
      </c>
      <c r="B83" s="199">
        <f t="shared" si="18"/>
        <v>2023</v>
      </c>
      <c r="C83" s="199" t="str">
        <f t="shared" si="19"/>
        <v>Income: 1</v>
      </c>
      <c r="D83" s="200">
        <v>44932</v>
      </c>
      <c r="E83" s="201" t="s">
        <v>51</v>
      </c>
      <c r="F83" s="162">
        <v>4950</v>
      </c>
      <c r="G83" s="162"/>
      <c r="H83" s="46">
        <f t="shared" si="20"/>
        <v>0</v>
      </c>
      <c r="I83" s="202"/>
    </row>
    <row r="84" spans="1:11" ht="12.75" customHeight="1" x14ac:dyDescent="0.2">
      <c r="A84" s="199">
        <f t="shared" si="17"/>
        <v>2</v>
      </c>
      <c r="B84" s="199">
        <f t="shared" si="18"/>
        <v>2023</v>
      </c>
      <c r="C84" s="199" t="str">
        <f t="shared" si="19"/>
        <v>Rent: 1</v>
      </c>
      <c r="D84" s="40" t="str">
        <f>MOD(MONTH(D82), 12)+1 &amp; "/8/" &amp; YEAR(D83)</f>
        <v>2/8/2023</v>
      </c>
      <c r="E84" s="204" t="str">
        <f>"Rent: "&amp;LOOKUP(A83-1, Months, TextMonths)&amp;" '"&amp;B83</f>
        <v>Rent: Jan '2023</v>
      </c>
      <c r="F84" s="162"/>
      <c r="G84" s="162">
        <v>5100</v>
      </c>
      <c r="H84" s="46">
        <f t="shared" si="20"/>
        <v>5100</v>
      </c>
    </row>
    <row r="85" spans="1:11" ht="12.75" customHeight="1" x14ac:dyDescent="0.2">
      <c r="A85" s="199">
        <f t="shared" si="17"/>
        <v>2</v>
      </c>
      <c r="B85" s="199">
        <f t="shared" si="18"/>
        <v>2023</v>
      </c>
      <c r="C85" s="199" t="str">
        <f t="shared" si="19"/>
        <v>Income: 1</v>
      </c>
      <c r="D85" s="200">
        <v>44963</v>
      </c>
      <c r="E85" s="201" t="s">
        <v>51</v>
      </c>
      <c r="F85" s="162">
        <v>5100</v>
      </c>
      <c r="G85" s="162"/>
      <c r="H85" s="46">
        <f t="shared" si="20"/>
        <v>0</v>
      </c>
      <c r="I85" s="202"/>
    </row>
    <row r="86" spans="1:11" ht="12.75" customHeight="1" x14ac:dyDescent="0.2">
      <c r="A86" s="199">
        <f t="shared" si="17"/>
        <v>3</v>
      </c>
      <c r="B86" s="199">
        <f t="shared" si="18"/>
        <v>2023</v>
      </c>
      <c r="C86" s="199" t="str">
        <f t="shared" si="19"/>
        <v>Rent: 1</v>
      </c>
      <c r="D86" s="40" t="str">
        <f>MOD(MONTH(D84), 12)+1 &amp; "/8/" &amp; YEAR(D85)</f>
        <v>3/8/2023</v>
      </c>
      <c r="E86" s="204" t="str">
        <f>"Rent: "&amp;LOOKUP(A86-1, Months, TextMonths)&amp;" '"&amp;B86</f>
        <v>Rent: Mar '2023</v>
      </c>
      <c r="F86" s="162"/>
      <c r="G86" s="162">
        <v>5100</v>
      </c>
      <c r="H86" s="46">
        <f t="shared" si="20"/>
        <v>5100</v>
      </c>
    </row>
    <row r="87" spans="1:11" ht="12.75" customHeight="1" x14ac:dyDescent="0.2">
      <c r="A87" s="102">
        <f t="shared" si="17"/>
        <v>3</v>
      </c>
      <c r="B87" s="102">
        <f t="shared" si="18"/>
        <v>2023</v>
      </c>
      <c r="C87" s="102" t="str">
        <f t="shared" si="19"/>
        <v>Income: 1</v>
      </c>
      <c r="D87" s="28">
        <v>44991</v>
      </c>
      <c r="E87" s="29" t="s">
        <v>51</v>
      </c>
      <c r="F87" s="36">
        <v>5100</v>
      </c>
      <c r="G87" s="36"/>
      <c r="H87" s="46">
        <f t="shared" si="20"/>
        <v>0</v>
      </c>
    </row>
    <row r="88" spans="1:11" ht="12.75" customHeight="1" x14ac:dyDescent="0.2">
      <c r="A88" s="102">
        <f t="shared" si="17"/>
        <v>4</v>
      </c>
      <c r="B88" s="102">
        <f t="shared" si="18"/>
        <v>2023</v>
      </c>
      <c r="C88" s="102" t="str">
        <f t="shared" si="19"/>
        <v>Rent: 1</v>
      </c>
      <c r="D88" s="120" t="str">
        <f>MOD(MONTH(D86), 12)+1 &amp; "/8/" &amp; YEAR(D87)</f>
        <v>4/8/2023</v>
      </c>
      <c r="E88" s="121" t="str">
        <f>"Rent: "&amp;LOOKUP(A88-1, Months, TextMonths)&amp;" '"&amp;B88</f>
        <v>Rent: Apr '2023</v>
      </c>
      <c r="F88" s="36"/>
      <c r="G88" s="36">
        <v>5100</v>
      </c>
      <c r="H88" s="46">
        <f t="shared" si="20"/>
        <v>5100</v>
      </c>
      <c r="I88" s="39"/>
      <c r="J88" s="30"/>
    </row>
    <row r="89" spans="1:11" ht="12.75" customHeight="1" x14ac:dyDescent="0.2">
      <c r="A89" s="102">
        <f t="shared" si="17"/>
        <v>4</v>
      </c>
      <c r="B89" s="102">
        <f t="shared" si="18"/>
        <v>2023</v>
      </c>
      <c r="C89" s="102" t="str">
        <f t="shared" si="19"/>
        <v>Income: 1</v>
      </c>
      <c r="D89" s="28">
        <v>45023</v>
      </c>
      <c r="E89" s="29" t="s">
        <v>51</v>
      </c>
      <c r="F89" s="36">
        <v>5100</v>
      </c>
      <c r="G89" s="36"/>
      <c r="H89" s="46">
        <f t="shared" si="20"/>
        <v>0</v>
      </c>
      <c r="I89" s="15"/>
      <c r="J89" s="15"/>
      <c r="K89" s="30"/>
    </row>
    <row r="90" spans="1:11" ht="12" customHeight="1" x14ac:dyDescent="0.2">
      <c r="A90" s="102">
        <f t="shared" si="17"/>
        <v>5</v>
      </c>
      <c r="B90" s="102">
        <f t="shared" si="18"/>
        <v>2023</v>
      </c>
      <c r="C90" s="102" t="str">
        <f t="shared" si="19"/>
        <v>Rent: 1</v>
      </c>
      <c r="D90" s="120" t="str">
        <f>MOD(MONTH(D88), 12)+1 &amp; "/8/" &amp; YEAR(D89)</f>
        <v>5/8/2023</v>
      </c>
      <c r="E90" s="121" t="str">
        <f>"Rent: "&amp;LOOKUP(A90-1, Months, TextMonths)&amp;" '"&amp;B90</f>
        <v>Rent: May '2023</v>
      </c>
      <c r="F90" s="36"/>
      <c r="G90" s="36">
        <v>5100</v>
      </c>
      <c r="H90" s="46">
        <f t="shared" si="20"/>
        <v>5100</v>
      </c>
    </row>
    <row r="91" spans="1:11" ht="12.75" customHeight="1" x14ac:dyDescent="0.2">
      <c r="A91" s="102">
        <f t="shared" si="17"/>
        <v>5</v>
      </c>
      <c r="B91" s="102">
        <f t="shared" si="18"/>
        <v>2023</v>
      </c>
      <c r="C91" s="102" t="str">
        <f t="shared" si="19"/>
        <v>Income: 1</v>
      </c>
      <c r="D91" s="28">
        <v>45054</v>
      </c>
      <c r="E91" s="29" t="s">
        <v>51</v>
      </c>
      <c r="F91" s="36">
        <v>5100</v>
      </c>
      <c r="G91" s="36"/>
      <c r="H91" s="46">
        <f t="shared" si="20"/>
        <v>0</v>
      </c>
    </row>
    <row r="92" spans="1:11" ht="12.75" customHeight="1" x14ac:dyDescent="0.2">
      <c r="A92" s="102">
        <f t="shared" si="17"/>
        <v>6</v>
      </c>
      <c r="B92" s="102">
        <f t="shared" si="18"/>
        <v>2023</v>
      </c>
      <c r="C92" s="102" t="str">
        <f t="shared" si="19"/>
        <v>Rent: 1</v>
      </c>
      <c r="D92" s="120" t="str">
        <f>MOD(MONTH(D90), 12)+1 &amp; "/8/" &amp; YEAR(D91)</f>
        <v>6/8/2023</v>
      </c>
      <c r="E92" s="121" t="str">
        <f>"Rent: "&amp;LOOKUP(A92-1, Months, TextMonths)&amp;" '"&amp;B92</f>
        <v>Rent: Jun '2023</v>
      </c>
      <c r="F92" s="36"/>
      <c r="G92" s="36">
        <v>5100</v>
      </c>
      <c r="H92" s="46">
        <f t="shared" si="20"/>
        <v>5100</v>
      </c>
    </row>
    <row r="93" spans="1:11" ht="12" customHeight="1" x14ac:dyDescent="0.2">
      <c r="A93" s="102">
        <f t="shared" si="17"/>
        <v>6</v>
      </c>
      <c r="B93" s="102">
        <f t="shared" si="18"/>
        <v>2023</v>
      </c>
      <c r="C93" s="102" t="str">
        <f t="shared" si="19"/>
        <v>Income: 1</v>
      </c>
      <c r="D93" s="28">
        <v>45082</v>
      </c>
      <c r="E93" s="29" t="s">
        <v>51</v>
      </c>
      <c r="F93" s="36">
        <v>5100</v>
      </c>
      <c r="G93" s="36"/>
      <c r="H93" s="46">
        <f t="shared" si="20"/>
        <v>0</v>
      </c>
    </row>
    <row r="94" spans="1:11" ht="12.75" customHeight="1" x14ac:dyDescent="0.2">
      <c r="A94" s="102">
        <f t="shared" si="17"/>
        <v>7</v>
      </c>
      <c r="B94" s="102">
        <f t="shared" si="18"/>
        <v>2023</v>
      </c>
      <c r="C94" s="102" t="str">
        <f t="shared" si="19"/>
        <v>Rent: 1</v>
      </c>
      <c r="D94" s="120" t="str">
        <f>MOD(MONTH(D92), 12)+1 &amp; "/8/" &amp; YEAR(D93)</f>
        <v>7/8/2023</v>
      </c>
      <c r="E94" s="121" t="str">
        <f>"Rent: "&amp;LOOKUP(A94-1, Months, TextMonths)&amp;" '"&amp;B94</f>
        <v>Rent: Jul '2023</v>
      </c>
      <c r="F94" s="36"/>
      <c r="G94" s="36">
        <v>5100</v>
      </c>
      <c r="H94" s="46">
        <f t="shared" si="20"/>
        <v>5100</v>
      </c>
    </row>
    <row r="95" spans="1:11" ht="12.75" customHeight="1" x14ac:dyDescent="0.2">
      <c r="A95" s="102">
        <f t="shared" si="17"/>
        <v>7</v>
      </c>
      <c r="B95" s="102">
        <f t="shared" si="18"/>
        <v>2023</v>
      </c>
      <c r="C95" s="102" t="str">
        <f t="shared" si="19"/>
        <v>Income: 1</v>
      </c>
      <c r="D95" s="28">
        <v>45114</v>
      </c>
      <c r="E95" s="29" t="s">
        <v>51</v>
      </c>
      <c r="F95" s="36">
        <v>5100</v>
      </c>
      <c r="G95" s="36"/>
      <c r="H95" s="46">
        <f t="shared" si="20"/>
        <v>0</v>
      </c>
    </row>
    <row r="96" spans="1:11" ht="12" customHeight="1" x14ac:dyDescent="0.2">
      <c r="A96" s="102">
        <f t="shared" si="17"/>
        <v>8</v>
      </c>
      <c r="B96" s="102">
        <f t="shared" si="18"/>
        <v>2023</v>
      </c>
      <c r="C96" s="102" t="str">
        <f t="shared" si="19"/>
        <v>Rent: 1</v>
      </c>
      <c r="D96" s="120" t="str">
        <f>MOD(MONTH(D94), 12)+1 &amp; "/8/" &amp; YEAR(D95)</f>
        <v>8/8/2023</v>
      </c>
      <c r="E96" s="121" t="str">
        <f>"Rent: "&amp;LOOKUP(A96-1, Months, TextMonths)&amp;" '"&amp;B96</f>
        <v>Rent: Aug '2023</v>
      </c>
      <c r="F96" s="36"/>
      <c r="G96" s="36">
        <v>5100</v>
      </c>
      <c r="H96" s="46">
        <f t="shared" si="20"/>
        <v>5100</v>
      </c>
    </row>
    <row r="97" spans="1:9" ht="12.75" customHeight="1" x14ac:dyDescent="0.2">
      <c r="A97" s="102">
        <f t="shared" si="17"/>
        <v>7</v>
      </c>
      <c r="B97" s="102">
        <f t="shared" si="18"/>
        <v>2023</v>
      </c>
      <c r="C97" s="102" t="str">
        <f t="shared" si="19"/>
        <v>Income: 1</v>
      </c>
      <c r="D97" s="28">
        <v>45131</v>
      </c>
      <c r="E97" s="29" t="s">
        <v>51</v>
      </c>
      <c r="F97" s="36">
        <v>5100</v>
      </c>
      <c r="G97" s="36"/>
      <c r="H97" s="46">
        <f t="shared" si="20"/>
        <v>0</v>
      </c>
    </row>
    <row r="98" spans="1:9" ht="12.75" customHeight="1" x14ac:dyDescent="0.2">
      <c r="A98" s="102">
        <f t="shared" si="17"/>
        <v>9</v>
      </c>
      <c r="B98" s="102">
        <f t="shared" si="18"/>
        <v>2023</v>
      </c>
      <c r="C98" s="102" t="str">
        <f t="shared" si="19"/>
        <v>Rent: 1</v>
      </c>
      <c r="D98" s="120" t="str">
        <f>MOD(MONTH(D96), 12)+1 &amp; "/8/" &amp; YEAR(D97)</f>
        <v>9/8/2023</v>
      </c>
      <c r="E98" s="121" t="str">
        <f>"Rent: "&amp;LOOKUP(A98-1, Months, TextMonths)&amp;" '"&amp;B98</f>
        <v>Rent: Sep '2023</v>
      </c>
      <c r="F98" s="36"/>
      <c r="G98" s="36">
        <v>5100</v>
      </c>
      <c r="H98" s="46">
        <f t="shared" si="20"/>
        <v>5100</v>
      </c>
    </row>
    <row r="99" spans="1:9" ht="12" customHeight="1" x14ac:dyDescent="0.2">
      <c r="A99" s="102">
        <f t="shared" si="17"/>
        <v>9</v>
      </c>
      <c r="B99" s="102">
        <f t="shared" si="18"/>
        <v>2023</v>
      </c>
      <c r="C99" s="102" t="str">
        <f t="shared" si="19"/>
        <v>Income: 1</v>
      </c>
      <c r="D99" s="28">
        <v>45176</v>
      </c>
      <c r="E99" s="29" t="s">
        <v>51</v>
      </c>
      <c r="F99" s="36">
        <v>5100</v>
      </c>
      <c r="G99" s="36"/>
      <c r="H99" s="46">
        <f t="shared" si="20"/>
        <v>0</v>
      </c>
    </row>
    <row r="100" spans="1:9" ht="12.75" customHeight="1" x14ac:dyDescent="0.2">
      <c r="A100" s="102">
        <f t="shared" ref="A100:A101" si="21">MONTH(D100)</f>
        <v>10</v>
      </c>
      <c r="B100" s="102">
        <f t="shared" ref="B100:B101" si="22">YEAR(D100)</f>
        <v>2023</v>
      </c>
      <c r="C100" s="102" t="str">
        <f>IFERROR("Rent: "&amp;FIND("Rent",E100),IFERROR("Priv Tax: "&amp;FIND("Tax",E100), IFERROR("Income: "&amp;FIND("Payment",E100,1),"")))</f>
        <v>Rent: 1</v>
      </c>
      <c r="D100" s="120" t="str">
        <f>MOD(MONTH(D98), 12)+1 &amp; "/8/" &amp; YEAR(D99)</f>
        <v>10/8/2023</v>
      </c>
      <c r="E100" s="121" t="str">
        <f>"Rent: "&amp;LOOKUP(A100-1, Months, TextMonths)&amp;" '"&amp;B100</f>
        <v>Rent: Oct '2023</v>
      </c>
      <c r="F100" s="36"/>
      <c r="G100" s="36">
        <v>5100</v>
      </c>
      <c r="H100" s="46">
        <f t="shared" ref="H100:H101" si="23">H99+G100-F100</f>
        <v>5100</v>
      </c>
    </row>
    <row r="101" spans="1:9" ht="12" customHeight="1" x14ac:dyDescent="0.2">
      <c r="A101" s="102">
        <f t="shared" si="21"/>
        <v>10</v>
      </c>
      <c r="B101" s="102">
        <f t="shared" si="22"/>
        <v>2023</v>
      </c>
      <c r="C101" s="102" t="str">
        <f t="shared" ref="C101" si="24">IFERROR("Rent: "&amp;FIND("Rent",E101),IFERROR("Priv Tax: "&amp;FIND("Tax",E101), IFERROR("Income: "&amp;FIND("Payment",E101,1),"")))</f>
        <v>Income: 1</v>
      </c>
      <c r="D101" s="28">
        <v>45207</v>
      </c>
      <c r="E101" s="29" t="s">
        <v>51</v>
      </c>
      <c r="F101" s="36">
        <v>5100</v>
      </c>
      <c r="G101" s="36"/>
      <c r="H101" s="46">
        <f t="shared" si="23"/>
        <v>0</v>
      </c>
    </row>
    <row r="102" spans="1:9" ht="12.75" customHeight="1" x14ac:dyDescent="0.2">
      <c r="F102" s="36"/>
      <c r="G102" s="36"/>
      <c r="H102" s="36"/>
      <c r="I102" s="30"/>
    </row>
    <row r="103" spans="1:9" ht="12.75" customHeight="1" x14ac:dyDescent="0.2">
      <c r="F103" s="36"/>
      <c r="G103" s="36"/>
      <c r="H103" s="36"/>
    </row>
    <row r="104" spans="1:9" ht="12.75" customHeight="1" x14ac:dyDescent="0.2">
      <c r="F104" s="36"/>
      <c r="G104" s="36"/>
      <c r="H104" s="36"/>
      <c r="I104" s="30"/>
    </row>
    <row r="105" spans="1:9" ht="12.75" customHeight="1" x14ac:dyDescent="0.2">
      <c r="F105" s="36"/>
      <c r="G105" s="36"/>
      <c r="H105" s="36"/>
      <c r="I105" s="30"/>
    </row>
    <row r="106" spans="1:9" ht="12.75" customHeight="1" x14ac:dyDescent="0.2">
      <c r="F106" s="36"/>
      <c r="G106" s="36"/>
      <c r="H106" s="36"/>
    </row>
    <row r="107" spans="1:9" ht="12.75" customHeight="1" x14ac:dyDescent="0.2">
      <c r="F107" s="36"/>
      <c r="G107" s="36"/>
      <c r="H107" s="36"/>
      <c r="I107" s="30"/>
    </row>
    <row r="108" spans="1:9" ht="12.75" customHeight="1" x14ac:dyDescent="0.2">
      <c r="F108" s="36"/>
      <c r="G108" s="36"/>
      <c r="H108" s="36"/>
      <c r="I108" s="30"/>
    </row>
    <row r="109" spans="1:9" ht="12.75" customHeight="1" x14ac:dyDescent="0.2">
      <c r="F109" s="36"/>
      <c r="G109" s="36"/>
      <c r="H109" s="36"/>
      <c r="I109" s="30"/>
    </row>
    <row r="110" spans="1:9" ht="12.75" customHeight="1" x14ac:dyDescent="0.2">
      <c r="F110" s="36"/>
      <c r="G110" s="36"/>
      <c r="H110" s="36"/>
      <c r="I110" s="30"/>
    </row>
    <row r="111" spans="1:9" ht="12.75" customHeight="1" x14ac:dyDescent="0.2">
      <c r="F111" s="36"/>
      <c r="G111" s="36"/>
      <c r="H111" s="36"/>
      <c r="I111" s="30"/>
    </row>
    <row r="112" spans="1:9" ht="12.75" customHeight="1" x14ac:dyDescent="0.2">
      <c r="F112" s="36"/>
      <c r="G112" s="36"/>
      <c r="H112" s="36"/>
    </row>
    <row r="113" spans="6:9" ht="12.75" customHeight="1" x14ac:dyDescent="0.2">
      <c r="F113" s="36"/>
      <c r="G113" s="36"/>
      <c r="H113" s="36"/>
      <c r="I113" s="30"/>
    </row>
    <row r="114" spans="6:9" ht="12.75" customHeight="1" x14ac:dyDescent="0.2">
      <c r="F114" s="36"/>
      <c r="G114" s="36"/>
      <c r="H114" s="36"/>
      <c r="I114" s="30"/>
    </row>
    <row r="115" spans="6:9" ht="12.75" customHeight="1" x14ac:dyDescent="0.2">
      <c r="F115" s="36"/>
      <c r="G115" s="36"/>
      <c r="H115" s="36"/>
      <c r="I115" s="30"/>
    </row>
    <row r="116" spans="6:9" ht="12.75" customHeight="1" x14ac:dyDescent="0.2">
      <c r="F116" s="36"/>
      <c r="G116" s="36"/>
      <c r="H116" s="36"/>
    </row>
    <row r="117" spans="6:9" ht="12.75" customHeight="1" x14ac:dyDescent="0.2">
      <c r="F117" s="36"/>
      <c r="G117" s="36"/>
      <c r="H117" s="36"/>
      <c r="I117" s="30"/>
    </row>
    <row r="118" spans="6:9" ht="12.75" customHeight="1" x14ac:dyDescent="0.2">
      <c r="F118" s="36"/>
      <c r="G118" s="36"/>
      <c r="H118" s="36"/>
      <c r="I118" s="30"/>
    </row>
    <row r="119" spans="6:9" ht="12.75" customHeight="1" x14ac:dyDescent="0.2">
      <c r="F119" s="36"/>
      <c r="G119" s="36"/>
      <c r="H119" s="36"/>
      <c r="I119" s="30"/>
    </row>
    <row r="120" spans="6:9" ht="12.75" customHeight="1" x14ac:dyDescent="0.2">
      <c r="F120" s="36"/>
      <c r="G120" s="36"/>
      <c r="H120" s="36"/>
    </row>
    <row r="121" spans="6:9" ht="12.75" customHeight="1" x14ac:dyDescent="0.2">
      <c r="F121" s="36"/>
      <c r="G121" s="36"/>
      <c r="H121" s="36"/>
      <c r="I121" s="30"/>
    </row>
    <row r="122" spans="6:9" ht="12.75" customHeight="1" x14ac:dyDescent="0.2">
      <c r="F122" s="36"/>
      <c r="G122" s="36"/>
      <c r="H122" s="36"/>
      <c r="I122" s="30"/>
    </row>
    <row r="123" spans="6:9" ht="12.75" customHeight="1" x14ac:dyDescent="0.2">
      <c r="F123" s="36"/>
      <c r="G123" s="36"/>
      <c r="H123" s="36"/>
    </row>
    <row r="124" spans="6:9" ht="12.75" customHeight="1" x14ac:dyDescent="0.2">
      <c r="F124" s="36"/>
      <c r="G124" s="36"/>
      <c r="H124" s="36"/>
    </row>
    <row r="125" spans="6:9" ht="12.75" customHeight="1" x14ac:dyDescent="0.2">
      <c r="F125" s="36"/>
      <c r="G125" s="36"/>
      <c r="H125" s="36"/>
      <c r="I125" s="30"/>
    </row>
    <row r="126" spans="6:9" ht="12.75" customHeight="1" x14ac:dyDescent="0.2">
      <c r="F126" s="36"/>
      <c r="G126" s="36"/>
      <c r="H126" s="36"/>
      <c r="I126" s="30"/>
    </row>
    <row r="127" spans="6:9" ht="12.75" customHeight="1" x14ac:dyDescent="0.2">
      <c r="F127" s="36"/>
      <c r="G127" s="36"/>
      <c r="H127" s="36"/>
      <c r="I127" s="30"/>
    </row>
    <row r="128" spans="6:9" ht="12.75" customHeight="1" x14ac:dyDescent="0.2">
      <c r="F128" s="36"/>
      <c r="G128" s="36"/>
      <c r="H128" s="36"/>
    </row>
    <row r="129" spans="6:12" ht="12.75" customHeight="1" x14ac:dyDescent="0.2">
      <c r="F129" s="36"/>
      <c r="G129" s="36"/>
      <c r="H129" s="36"/>
      <c r="I129" s="29"/>
    </row>
    <row r="130" spans="6:12" ht="12.75" customHeight="1" x14ac:dyDescent="0.2">
      <c r="F130" s="36"/>
      <c r="G130" s="36"/>
      <c r="H130" s="36"/>
      <c r="I130" s="29"/>
    </row>
    <row r="131" spans="6:12" ht="12.75" customHeight="1" x14ac:dyDescent="0.2">
      <c r="F131" s="36"/>
      <c r="G131" s="36"/>
      <c r="H131" s="36"/>
      <c r="I131" s="29"/>
    </row>
    <row r="132" spans="6:12" ht="12.75" customHeight="1" x14ac:dyDescent="0.2">
      <c r="F132" s="36"/>
      <c r="G132" s="36"/>
      <c r="H132" s="36"/>
    </row>
    <row r="133" spans="6:12" ht="12.75" customHeight="1" x14ac:dyDescent="0.2">
      <c r="F133" s="36"/>
      <c r="G133" s="36"/>
      <c r="H133" s="36"/>
      <c r="I133" s="29"/>
    </row>
    <row r="134" spans="6:12" ht="12.75" customHeight="1" x14ac:dyDescent="0.2">
      <c r="F134" s="36"/>
      <c r="G134" s="36"/>
      <c r="H134" s="36"/>
      <c r="I134" s="29"/>
    </row>
    <row r="135" spans="6:12" ht="12.75" customHeight="1" x14ac:dyDescent="0.2">
      <c r="F135" s="36"/>
      <c r="G135" s="36"/>
      <c r="H135" s="36"/>
      <c r="I135" s="29"/>
    </row>
    <row r="136" spans="6:12" ht="12.75" customHeight="1" x14ac:dyDescent="0.2">
      <c r="F136" s="36"/>
      <c r="G136" s="36"/>
      <c r="H136" s="36"/>
      <c r="I136" s="29"/>
      <c r="J136" s="29"/>
      <c r="K136" s="29"/>
      <c r="L136" s="29"/>
    </row>
    <row r="137" spans="6:12" ht="12.75" customHeight="1" x14ac:dyDescent="0.2">
      <c r="F137" s="36"/>
      <c r="G137" s="36"/>
      <c r="H137" s="36"/>
      <c r="I137" s="30"/>
    </row>
    <row r="138" spans="6:12" ht="12.75" customHeight="1" x14ac:dyDescent="0.2">
      <c r="F138" s="36"/>
      <c r="G138" s="36"/>
      <c r="H138" s="36"/>
      <c r="I138" s="29"/>
    </row>
    <row r="139" spans="6:12" ht="12.75" customHeight="1" x14ac:dyDescent="0.2">
      <c r="F139" s="36"/>
      <c r="G139" s="36"/>
      <c r="H139" s="36"/>
    </row>
    <row r="140" spans="6:12" ht="12.75" customHeight="1" x14ac:dyDescent="0.2">
      <c r="F140" s="36"/>
      <c r="G140" s="36"/>
      <c r="H140" s="36"/>
    </row>
    <row r="141" spans="6:12" ht="12.75" customHeight="1" x14ac:dyDescent="0.2">
      <c r="F141" s="36"/>
      <c r="G141" s="36"/>
      <c r="H141" s="36"/>
    </row>
    <row r="142" spans="6:12" ht="12.75" customHeight="1" x14ac:dyDescent="0.2">
      <c r="F142" s="36"/>
      <c r="G142" s="36"/>
      <c r="H142" s="36"/>
      <c r="I142" s="29"/>
    </row>
    <row r="143" spans="6:12" ht="12.75" customHeight="1" x14ac:dyDescent="0.2">
      <c r="F143" s="36"/>
      <c r="G143" s="36"/>
      <c r="H143" s="36"/>
      <c r="I143" s="29"/>
    </row>
    <row r="144" spans="6:12" ht="12.75" customHeight="1" x14ac:dyDescent="0.2">
      <c r="F144" s="36"/>
      <c r="G144" s="36"/>
      <c r="H144" s="36"/>
      <c r="I144" s="29"/>
    </row>
    <row r="145" spans="6:9" ht="12.75" customHeight="1" x14ac:dyDescent="0.2">
      <c r="F145" s="36"/>
      <c r="G145" s="36"/>
      <c r="H145" s="36"/>
    </row>
    <row r="146" spans="6:9" ht="12.75" customHeight="1" x14ac:dyDescent="0.2">
      <c r="F146" s="36"/>
      <c r="G146" s="36"/>
      <c r="H146" s="36"/>
      <c r="I146" s="29"/>
    </row>
    <row r="147" spans="6:9" ht="12.75" customHeight="1" x14ac:dyDescent="0.2">
      <c r="F147" s="36"/>
      <c r="G147" s="36"/>
      <c r="H147" s="36"/>
    </row>
    <row r="148" spans="6:9" ht="12.75" customHeight="1" x14ac:dyDescent="0.2">
      <c r="F148" s="36"/>
      <c r="G148" s="36"/>
      <c r="H148" s="36"/>
      <c r="I148" s="29"/>
    </row>
    <row r="149" spans="6:9" ht="12.75" customHeight="1" x14ac:dyDescent="0.2">
      <c r="F149" s="36"/>
      <c r="G149" s="36"/>
      <c r="H149" s="36"/>
    </row>
    <row r="150" spans="6:9" ht="12.75" customHeight="1" x14ac:dyDescent="0.2">
      <c r="F150" s="36"/>
      <c r="G150" s="36"/>
      <c r="H150" s="36"/>
      <c r="I150" s="29"/>
    </row>
    <row r="151" spans="6:9" ht="12.75" customHeight="1" x14ac:dyDescent="0.2">
      <c r="F151" s="36"/>
      <c r="G151" s="36"/>
      <c r="H151" s="36"/>
      <c r="I151" s="29"/>
    </row>
    <row r="152" spans="6:9" ht="12.75" customHeight="1" x14ac:dyDescent="0.2">
      <c r="F152" s="36"/>
      <c r="G152" s="36"/>
      <c r="H152" s="36"/>
    </row>
    <row r="153" spans="6:9" ht="12.75" customHeight="1" x14ac:dyDescent="0.2">
      <c r="F153" s="36"/>
      <c r="G153" s="36"/>
      <c r="H153" s="36"/>
      <c r="I153" s="29"/>
    </row>
    <row r="154" spans="6:9" ht="12.75" customHeight="1" x14ac:dyDescent="0.2">
      <c r="F154" s="36"/>
      <c r="G154" s="36"/>
      <c r="H154" s="36"/>
    </row>
    <row r="155" spans="6:9" ht="12.75" customHeight="1" x14ac:dyDescent="0.2">
      <c r="F155" s="36"/>
      <c r="G155" s="36"/>
      <c r="H155" s="36"/>
      <c r="I155" s="29"/>
    </row>
    <row r="156" spans="6:9" ht="12.75" customHeight="1" x14ac:dyDescent="0.2">
      <c r="F156" s="36"/>
      <c r="G156" s="36"/>
      <c r="H156" s="36"/>
    </row>
    <row r="157" spans="6:9" ht="12.75" customHeight="1" x14ac:dyDescent="0.2">
      <c r="F157" s="36"/>
      <c r="G157" s="36"/>
      <c r="H157" s="36"/>
      <c r="I157" s="29"/>
    </row>
    <row r="158" spans="6:9" ht="12.75" customHeight="1" x14ac:dyDescent="0.2">
      <c r="F158" s="36"/>
      <c r="G158" s="36"/>
      <c r="H158" s="36"/>
    </row>
    <row r="159" spans="6:9" ht="12.75" customHeight="1" x14ac:dyDescent="0.2">
      <c r="F159" s="36"/>
      <c r="G159" s="36"/>
      <c r="H159" s="36"/>
      <c r="I159" s="29"/>
    </row>
    <row r="160" spans="6:9" ht="12.75" customHeight="1" x14ac:dyDescent="0.2">
      <c r="F160" s="36"/>
      <c r="G160" s="36"/>
      <c r="H160" s="36"/>
    </row>
    <row r="161" spans="6:9" ht="12.75" customHeight="1" x14ac:dyDescent="0.2">
      <c r="F161" s="36"/>
      <c r="G161" s="36"/>
      <c r="H161" s="36"/>
    </row>
    <row r="162" spans="6:9" ht="12.75" customHeight="1" x14ac:dyDescent="0.2">
      <c r="F162" s="36"/>
      <c r="G162" s="36"/>
      <c r="H162" s="36"/>
      <c r="I162" s="29"/>
    </row>
    <row r="163" spans="6:9" ht="12.75" customHeight="1" x14ac:dyDescent="0.2">
      <c r="F163" s="36"/>
      <c r="G163" s="36"/>
      <c r="H163" s="36"/>
    </row>
    <row r="164" spans="6:9" ht="12.75" customHeight="1" x14ac:dyDescent="0.2">
      <c r="F164" s="36"/>
      <c r="G164" s="36"/>
      <c r="H164" s="36"/>
      <c r="I164" s="29"/>
    </row>
    <row r="165" spans="6:9" ht="12.75" customHeight="1" x14ac:dyDescent="0.2">
      <c r="F165" s="36"/>
      <c r="G165" s="36"/>
      <c r="H165" s="36"/>
    </row>
    <row r="166" spans="6:9" ht="12.75" customHeight="1" x14ac:dyDescent="0.2">
      <c r="F166" s="36"/>
      <c r="G166" s="36"/>
      <c r="H166" s="36"/>
      <c r="I166" s="29"/>
    </row>
    <row r="167" spans="6:9" ht="12.75" customHeight="1" x14ac:dyDescent="0.2">
      <c r="F167" s="36"/>
      <c r="G167" s="36"/>
      <c r="H167" s="36"/>
    </row>
    <row r="168" spans="6:9" ht="12.75" customHeight="1" x14ac:dyDescent="0.2">
      <c r="F168" s="36"/>
      <c r="G168" s="36"/>
      <c r="H168" s="36"/>
      <c r="I168" s="29"/>
    </row>
    <row r="169" spans="6:9" ht="12.75" customHeight="1" x14ac:dyDescent="0.2">
      <c r="F169" s="36"/>
      <c r="G169" s="36"/>
      <c r="H169" s="36"/>
    </row>
    <row r="170" spans="6:9" ht="12.75" customHeight="1" x14ac:dyDescent="0.2">
      <c r="F170" s="36"/>
      <c r="G170" s="36"/>
      <c r="H170" s="36"/>
      <c r="I170" s="29"/>
    </row>
    <row r="171" spans="6:9" ht="12.75" customHeight="1" x14ac:dyDescent="0.2">
      <c r="F171" s="36"/>
      <c r="G171" s="36"/>
      <c r="H171" s="36"/>
    </row>
    <row r="172" spans="6:9" ht="12.75" customHeight="1" x14ac:dyDescent="0.2">
      <c r="F172" s="36"/>
      <c r="G172" s="36"/>
      <c r="H172" s="36"/>
      <c r="I172" s="29"/>
    </row>
    <row r="173" spans="6:9" ht="12.75" customHeight="1" x14ac:dyDescent="0.2">
      <c r="F173" s="36"/>
      <c r="G173" s="36"/>
      <c r="H173" s="36"/>
    </row>
    <row r="174" spans="6:9" ht="12.75" customHeight="1" x14ac:dyDescent="0.2">
      <c r="F174" s="36"/>
      <c r="G174" s="36"/>
      <c r="H174" s="36"/>
      <c r="I174" s="29"/>
    </row>
    <row r="175" spans="6:9" ht="12.75" customHeight="1" x14ac:dyDescent="0.2">
      <c r="F175" s="36"/>
      <c r="G175" s="36"/>
      <c r="H175" s="36"/>
    </row>
    <row r="176" spans="6:9" ht="12.75" customHeight="1" x14ac:dyDescent="0.2">
      <c r="F176" s="36"/>
      <c r="G176" s="36"/>
      <c r="H176" s="36"/>
      <c r="I176" s="29"/>
    </row>
    <row r="177" spans="6:9" ht="12.75" customHeight="1" x14ac:dyDescent="0.2">
      <c r="F177" s="36"/>
      <c r="G177" s="36"/>
      <c r="H177" s="36"/>
    </row>
    <row r="178" spans="6:9" ht="12.75" customHeight="1" x14ac:dyDescent="0.2">
      <c r="F178" s="36"/>
      <c r="G178" s="36"/>
      <c r="H178" s="36"/>
      <c r="I178" s="29"/>
    </row>
    <row r="179" spans="6:9" ht="12.75" customHeight="1" x14ac:dyDescent="0.2">
      <c r="F179" s="36"/>
      <c r="G179" s="36"/>
      <c r="H179" s="36"/>
    </row>
    <row r="180" spans="6:9" ht="12.75" customHeight="1" x14ac:dyDescent="0.2">
      <c r="F180" s="36"/>
      <c r="G180" s="36"/>
      <c r="H180" s="36"/>
      <c r="I180" s="29"/>
    </row>
    <row r="181" spans="6:9" ht="12.75" customHeight="1" x14ac:dyDescent="0.2">
      <c r="F181" s="36"/>
      <c r="G181" s="36"/>
      <c r="H181" s="36"/>
    </row>
    <row r="182" spans="6:9" ht="12.75" customHeight="1" x14ac:dyDescent="0.2">
      <c r="F182" s="36"/>
      <c r="G182" s="36"/>
      <c r="H182" s="36"/>
      <c r="I182" s="29"/>
    </row>
    <row r="183" spans="6:9" ht="12.75" customHeight="1" x14ac:dyDescent="0.2">
      <c r="F183" s="36"/>
      <c r="G183" s="36"/>
      <c r="H183" s="36"/>
    </row>
    <row r="184" spans="6:9" ht="12.75" customHeight="1" x14ac:dyDescent="0.2">
      <c r="F184" s="36"/>
      <c r="G184" s="36"/>
      <c r="H184" s="36"/>
      <c r="I184" s="29"/>
    </row>
    <row r="185" spans="6:9" ht="12.75" customHeight="1" x14ac:dyDescent="0.2">
      <c r="F185" s="36"/>
      <c r="G185" s="36"/>
      <c r="H185" s="36"/>
    </row>
    <row r="186" spans="6:9" ht="12.75" customHeight="1" x14ac:dyDescent="0.2">
      <c r="F186" s="36"/>
      <c r="G186" s="36"/>
      <c r="H186" s="36"/>
      <c r="I186" s="29"/>
    </row>
    <row r="187" spans="6:9" ht="12.75" customHeight="1" x14ac:dyDescent="0.2">
      <c r="F187" s="36"/>
      <c r="G187" s="36"/>
      <c r="H187" s="36"/>
    </row>
    <row r="188" spans="6:9" ht="12.75" customHeight="1" x14ac:dyDescent="0.2">
      <c r="F188" s="36"/>
      <c r="G188" s="36"/>
      <c r="H188" s="36"/>
      <c r="I188" s="29"/>
    </row>
    <row r="189" spans="6:9" ht="12.75" customHeight="1" x14ac:dyDescent="0.2">
      <c r="F189" s="36"/>
      <c r="G189" s="36"/>
      <c r="H189" s="36"/>
    </row>
    <row r="190" spans="6:9" ht="12.75" customHeight="1" x14ac:dyDescent="0.2">
      <c r="F190" s="36"/>
      <c r="G190" s="36"/>
      <c r="H190" s="36"/>
      <c r="I190" s="29"/>
    </row>
    <row r="191" spans="6:9" ht="12.75" customHeight="1" x14ac:dyDescent="0.2">
      <c r="F191" s="36"/>
      <c r="G191" s="36"/>
      <c r="H191" s="36"/>
    </row>
    <row r="192" spans="6:9" ht="12.75" customHeight="1" x14ac:dyDescent="0.2">
      <c r="F192" s="36"/>
      <c r="G192" s="36"/>
      <c r="H192" s="36"/>
      <c r="I192" s="29"/>
    </row>
    <row r="193" spans="6:9" ht="12.75" customHeight="1" x14ac:dyDescent="0.2">
      <c r="F193" s="36"/>
      <c r="G193" s="36"/>
      <c r="H193" s="36"/>
    </row>
    <row r="194" spans="6:9" ht="12.75" customHeight="1" x14ac:dyDescent="0.2">
      <c r="F194" s="36"/>
      <c r="G194" s="36"/>
      <c r="H194" s="36"/>
      <c r="I194" s="29"/>
    </row>
    <row r="195" spans="6:9" ht="12.75" customHeight="1" x14ac:dyDescent="0.2">
      <c r="F195" s="36"/>
      <c r="G195" s="36"/>
      <c r="H195" s="36"/>
    </row>
    <row r="196" spans="6:9" ht="12.75" customHeight="1" x14ac:dyDescent="0.2">
      <c r="F196" s="36"/>
      <c r="G196" s="36"/>
      <c r="H196" s="36"/>
      <c r="I196" s="29"/>
    </row>
    <row r="197" spans="6:9" ht="12.75" customHeight="1" x14ac:dyDescent="0.2">
      <c r="F197" s="36"/>
      <c r="G197" s="36"/>
      <c r="H197" s="36"/>
    </row>
    <row r="198" spans="6:9" ht="12.75" customHeight="1" x14ac:dyDescent="0.2">
      <c r="F198" s="36"/>
      <c r="G198" s="36"/>
      <c r="H198" s="36"/>
      <c r="I198" s="29"/>
    </row>
    <row r="199" spans="6:9" ht="12.75" customHeight="1" x14ac:dyDescent="0.2">
      <c r="F199" s="36"/>
      <c r="G199" s="36"/>
      <c r="H199" s="36"/>
    </row>
    <row r="200" spans="6:9" ht="12.75" customHeight="1" x14ac:dyDescent="0.2">
      <c r="F200" s="36"/>
      <c r="G200" s="36"/>
      <c r="H200" s="36"/>
      <c r="I200" s="29"/>
    </row>
    <row r="201" spans="6:9" ht="12.75" customHeight="1" x14ac:dyDescent="0.2">
      <c r="F201" s="36"/>
      <c r="G201" s="36"/>
      <c r="H201" s="36"/>
    </row>
    <row r="202" spans="6:9" ht="12.75" customHeight="1" x14ac:dyDescent="0.2">
      <c r="F202" s="36"/>
      <c r="G202" s="36"/>
      <c r="H202" s="36"/>
      <c r="I202" s="29"/>
    </row>
    <row r="203" spans="6:9" ht="12.75" customHeight="1" x14ac:dyDescent="0.2">
      <c r="F203" s="36"/>
      <c r="G203" s="36"/>
      <c r="H203" s="36"/>
    </row>
    <row r="204" spans="6:9" ht="12.75" customHeight="1" x14ac:dyDescent="0.2">
      <c r="F204" s="36"/>
      <c r="G204" s="36"/>
      <c r="H204" s="36"/>
      <c r="I204" s="29"/>
    </row>
    <row r="205" spans="6:9" ht="12.75" customHeight="1" x14ac:dyDescent="0.2">
      <c r="F205" s="36"/>
      <c r="G205" s="36"/>
      <c r="H205" s="36"/>
    </row>
    <row r="206" spans="6:9" ht="12.75" customHeight="1" x14ac:dyDescent="0.2">
      <c r="F206" s="36"/>
      <c r="G206" s="36"/>
      <c r="H206" s="36"/>
      <c r="I206" s="29"/>
    </row>
    <row r="207" spans="6:9" ht="12.75" customHeight="1" x14ac:dyDescent="0.2">
      <c r="F207" s="36"/>
      <c r="G207" s="36"/>
      <c r="H207" s="36"/>
    </row>
    <row r="208" spans="6:9" ht="12.75" customHeight="1" x14ac:dyDescent="0.2">
      <c r="F208" s="36"/>
      <c r="G208" s="36"/>
      <c r="H208" s="36"/>
      <c r="I208" s="29"/>
    </row>
    <row r="209" spans="6:9" ht="12.75" customHeight="1" x14ac:dyDescent="0.2">
      <c r="F209" s="36"/>
      <c r="G209" s="36"/>
      <c r="H209" s="36"/>
    </row>
    <row r="210" spans="6:9" ht="12.75" customHeight="1" x14ac:dyDescent="0.2">
      <c r="F210" s="36"/>
      <c r="G210" s="36"/>
      <c r="H210" s="36"/>
      <c r="I210" s="29"/>
    </row>
    <row r="211" spans="6:9" ht="12.75" customHeight="1" x14ac:dyDescent="0.2">
      <c r="F211" s="36"/>
      <c r="G211" s="36"/>
      <c r="H211" s="36"/>
    </row>
    <row r="212" spans="6:9" ht="12.75" customHeight="1" x14ac:dyDescent="0.2">
      <c r="F212" s="36"/>
      <c r="G212" s="36"/>
      <c r="H212" s="36"/>
      <c r="I212" s="29"/>
    </row>
    <row r="213" spans="6:9" ht="12.75" customHeight="1" x14ac:dyDescent="0.2">
      <c r="F213" s="36"/>
      <c r="G213" s="36"/>
      <c r="H213" s="36"/>
    </row>
    <row r="214" spans="6:9" ht="12.75" customHeight="1" x14ac:dyDescent="0.2">
      <c r="F214" s="36"/>
      <c r="G214" s="36"/>
      <c r="H214" s="36"/>
    </row>
    <row r="215" spans="6:9" ht="12.75" customHeight="1" x14ac:dyDescent="0.2">
      <c r="F215" s="36"/>
      <c r="G215" s="36"/>
      <c r="H215" s="36"/>
    </row>
    <row r="216" spans="6:9" ht="12.75" customHeight="1" x14ac:dyDescent="0.2">
      <c r="F216" s="36"/>
      <c r="G216" s="36"/>
      <c r="H216" s="36"/>
    </row>
    <row r="217" spans="6:9" ht="12.75" customHeight="1" x14ac:dyDescent="0.2">
      <c r="F217" s="36"/>
      <c r="G217" s="36"/>
      <c r="H217" s="36"/>
    </row>
    <row r="218" spans="6:9" ht="12.75" customHeight="1" x14ac:dyDescent="0.2">
      <c r="F218" s="36"/>
      <c r="G218" s="36"/>
      <c r="H218" s="36"/>
    </row>
    <row r="219" spans="6:9" ht="12.75" customHeight="1" x14ac:dyDescent="0.2">
      <c r="F219" s="36"/>
      <c r="G219" s="36"/>
      <c r="H219" s="36"/>
    </row>
    <row r="220" spans="6:9" ht="12.75" customHeight="1" x14ac:dyDescent="0.2">
      <c r="F220" s="36"/>
      <c r="G220" s="36"/>
      <c r="H220" s="36"/>
    </row>
    <row r="221" spans="6:9" ht="12.75" customHeight="1" x14ac:dyDescent="0.2">
      <c r="F221" s="36"/>
      <c r="G221" s="36"/>
      <c r="H221" s="36"/>
    </row>
    <row r="222" spans="6:9" ht="12.75" customHeight="1" x14ac:dyDescent="0.2">
      <c r="F222" s="36"/>
      <c r="G222" s="36"/>
      <c r="H222" s="36"/>
    </row>
    <row r="223" spans="6:9" ht="12.75" customHeight="1" x14ac:dyDescent="0.2">
      <c r="F223" s="36"/>
      <c r="G223" s="36"/>
      <c r="H223" s="36"/>
    </row>
    <row r="224" spans="6:9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/>
    <row r="869" spans="6:8" ht="12.75" customHeight="1" x14ac:dyDescent="0.2"/>
    <row r="870" spans="6:8" ht="12.75" customHeight="1" x14ac:dyDescent="0.2"/>
    <row r="871" spans="6:8" ht="12.75" customHeight="1" x14ac:dyDescent="0.2"/>
    <row r="872" spans="6:8" ht="12.75" customHeight="1" x14ac:dyDescent="0.2"/>
    <row r="873" spans="6:8" ht="12.75" customHeight="1" x14ac:dyDescent="0.2"/>
    <row r="874" spans="6:8" ht="12.75" customHeight="1" x14ac:dyDescent="0.2"/>
    <row r="875" spans="6:8" ht="12.75" customHeight="1" x14ac:dyDescent="0.2"/>
    <row r="876" spans="6:8" ht="12.75" customHeight="1" x14ac:dyDescent="0.2"/>
    <row r="877" spans="6:8" ht="12.75" customHeight="1" x14ac:dyDescent="0.2"/>
    <row r="878" spans="6:8" ht="12.75" customHeight="1" x14ac:dyDescent="0.2"/>
    <row r="879" spans="6:8" ht="12.75" customHeight="1" x14ac:dyDescent="0.2"/>
    <row r="880" spans="6:8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workbookViewId="0">
      <pane xSplit="2" ySplit="4" topLeftCell="H81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B5" sqref="B5"/>
    </sheetView>
  </sheetViews>
  <sheetFormatPr defaultColWidth="12.5703125" defaultRowHeight="15" customHeight="1" x14ac:dyDescent="0.2"/>
  <cols>
    <col min="1" max="1" width="13.85546875" customWidth="1"/>
    <col min="2" max="3" width="8.5703125" customWidth="1"/>
    <col min="4" max="4" width="10.140625" customWidth="1"/>
    <col min="5" max="5" width="36.28515625" customWidth="1"/>
    <col min="6" max="6" width="13.42578125" customWidth="1"/>
    <col min="7" max="8" width="14.7109375" customWidth="1"/>
    <col min="9" max="9" width="16.85546875" customWidth="1"/>
    <col min="10" max="10" width="11.7109375" customWidth="1"/>
    <col min="11" max="26" width="8.5703125" customWidth="1"/>
  </cols>
  <sheetData>
    <row r="1" spans="1:10" ht="12.75" customHeight="1" x14ac:dyDescent="0.2">
      <c r="C1" t="s">
        <v>127</v>
      </c>
      <c r="D1" s="163" t="s">
        <v>139</v>
      </c>
      <c r="E1" s="104"/>
      <c r="F1" s="104" t="s">
        <v>175</v>
      </c>
      <c r="G1" s="150" t="s">
        <v>123</v>
      </c>
      <c r="H1" s="34" t="s">
        <v>52</v>
      </c>
      <c r="I1" s="147"/>
      <c r="J1" s="122"/>
    </row>
    <row r="2" spans="1:10" ht="12.75" customHeight="1" x14ac:dyDescent="0.2">
      <c r="D2" t="s">
        <v>138</v>
      </c>
      <c r="E2" s="104"/>
      <c r="F2" s="256">
        <v>3775</v>
      </c>
      <c r="G2" s="151">
        <v>3</v>
      </c>
      <c r="H2" s="105">
        <v>50</v>
      </c>
      <c r="I2" s="157" t="s">
        <v>41</v>
      </c>
      <c r="J2" s="104"/>
    </row>
    <row r="3" spans="1:10" ht="12.75" customHeight="1" x14ac:dyDescent="0.25">
      <c r="A3" s="30">
        <f>COUNTIF(A7:A65393, "&lt;&gt;")</f>
        <v>287</v>
      </c>
      <c r="B3" s="30">
        <f>MAX(B7:B853)</f>
        <v>3023</v>
      </c>
      <c r="D3" s="35">
        <f t="array" ref="D3">INDEX(D7:D65392, A3)</f>
        <v>45201</v>
      </c>
      <c r="E3" s="122"/>
      <c r="F3" s="105"/>
      <c r="G3" s="149" t="s">
        <v>40</v>
      </c>
      <c r="H3" s="152">
        <f t="array" ref="H3">INDEX(H7:H65392, A3)</f>
        <v>0</v>
      </c>
      <c r="I3" s="156">
        <v>45534</v>
      </c>
      <c r="J3" s="105"/>
    </row>
    <row r="4" spans="1:10" ht="12.75" customHeight="1" x14ac:dyDescent="0.2">
      <c r="A4" s="37" t="s">
        <v>43</v>
      </c>
      <c r="B4" s="37" t="s">
        <v>10</v>
      </c>
      <c r="C4" s="37" t="s">
        <v>59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t="s">
        <v>188</v>
      </c>
      <c r="B5" s="163" t="s">
        <v>126</v>
      </c>
    </row>
    <row r="6" spans="1:10" ht="12.75" customHeight="1" x14ac:dyDescent="0.2">
      <c r="A6" s="163" t="s">
        <v>177</v>
      </c>
      <c r="B6" s="163" t="s">
        <v>126</v>
      </c>
    </row>
    <row r="7" spans="1:10" ht="12.75" customHeight="1" x14ac:dyDescent="0.2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">
      <c r="A8" s="57">
        <f t="shared" si="0"/>
        <v>10</v>
      </c>
      <c r="B8" s="57">
        <f t="shared" si="1"/>
        <v>2015</v>
      </c>
      <c r="C8" s="37" t="str">
        <f t="shared" si="2"/>
        <v/>
      </c>
      <c r="D8" s="28">
        <v>42307</v>
      </c>
      <c r="E8" s="29" t="s">
        <v>60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61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62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63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64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">
      <c r="A243" s="57">
        <f t="shared" ref="A243:A245" si="4">MONTH(D243)</f>
        <v>7</v>
      </c>
      <c r="B243" s="57">
        <f t="shared" ref="B243:B245" si="5">YEAR(D243)</f>
        <v>2022</v>
      </c>
      <c r="C243" s="37" t="str">
        <f t="shared" ref="C243:C245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5" si="7">H242+G243-F243</f>
        <v>3275</v>
      </c>
    </row>
    <row r="244" spans="1:8" ht="12.75" customHeight="1" x14ac:dyDescent="0.2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">
      <c r="A246" s="57">
        <f t="shared" ref="A246:A248" si="8">MONTH(D246)</f>
        <v>8</v>
      </c>
      <c r="B246" s="57">
        <f t="shared" ref="B246:B248" si="9">YEAR(D246)</f>
        <v>2022</v>
      </c>
      <c r="C246" s="37" t="str">
        <f t="shared" ref="C246:C248" si="10">IFERROR("Rent: "&amp;FIND("Rent",E246),IFERROR("Priv Tax: "&amp;FIND("Tax",E246), IFERROR("Income: "&amp;FIND("Payment",E246,1),"")))</f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ref="H246:H248" si="11">H245+G246-F246</f>
        <v>3275</v>
      </c>
    </row>
    <row r="247" spans="1:8" ht="12.75" customHeight="1" x14ac:dyDescent="0.2">
      <c r="A247" s="57">
        <f t="shared" si="8"/>
        <v>8</v>
      </c>
      <c r="B247" s="57">
        <f t="shared" si="9"/>
        <v>2022</v>
      </c>
      <c r="C247" s="37" t="str">
        <f t="shared" si="10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11"/>
        <v>1637.5</v>
      </c>
    </row>
    <row r="248" spans="1:8" ht="12.75" customHeight="1" x14ac:dyDescent="0.2">
      <c r="A248" s="57">
        <f t="shared" si="8"/>
        <v>8</v>
      </c>
      <c r="B248" s="57">
        <f t="shared" si="9"/>
        <v>2022</v>
      </c>
      <c r="C248" s="37" t="str">
        <f t="shared" si="10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11"/>
        <v>0</v>
      </c>
    </row>
    <row r="249" spans="1:8" ht="12.75" customHeight="1" x14ac:dyDescent="0.2">
      <c r="A249" s="57">
        <f t="shared" ref="A249:A251" si="12">MONTH(D249)</f>
        <v>9</v>
      </c>
      <c r="B249" s="57">
        <f t="shared" ref="B249:B251" si="13">YEAR(D249)</f>
        <v>2022</v>
      </c>
      <c r="C249" s="37" t="str">
        <f t="shared" ref="C249:C251" si="14">IFERROR("Rent: "&amp;FIND("Rent",E249),IFERROR("Priv Tax: "&amp;FIND("Tax",E249), IFERROR("Income: "&amp;FIND("Payment",E249,1),"")))</f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">
      <c r="A250" s="57">
        <f t="shared" si="12"/>
        <v>8</v>
      </c>
      <c r="B250" s="57">
        <f t="shared" si="13"/>
        <v>2022</v>
      </c>
      <c r="C250" s="37" t="str">
        <f t="shared" si="14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 t="shared" ref="H250:H251" si="15">H249+G250-F250</f>
        <v>1762.5</v>
      </c>
    </row>
    <row r="251" spans="1:8" ht="12.75" customHeight="1" x14ac:dyDescent="0.2">
      <c r="A251" s="57">
        <f t="shared" si="12"/>
        <v>9</v>
      </c>
      <c r="B251" s="57">
        <f t="shared" si="13"/>
        <v>2022</v>
      </c>
      <c r="C251" s="37" t="str">
        <f t="shared" si="14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 t="shared" si="15"/>
        <v>0</v>
      </c>
    </row>
    <row r="252" spans="1:8" ht="12.75" customHeight="1" x14ac:dyDescent="0.2">
      <c r="A252" s="57">
        <f t="shared" ref="A252:A257" si="16">MONTH(D252)</f>
        <v>10</v>
      </c>
      <c r="B252" s="57">
        <f t="shared" ref="B252:B257" si="17">YEAR(D252)</f>
        <v>2022</v>
      </c>
      <c r="C252" s="37" t="str">
        <f t="shared" ref="C252:C257" si="18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">
      <c r="A253" s="57">
        <f t="shared" si="16"/>
        <v>9</v>
      </c>
      <c r="B253" s="57">
        <f t="shared" si="17"/>
        <v>2022</v>
      </c>
      <c r="C253" s="37" t="str">
        <f t="shared" si="18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 t="shared" ref="H253:H254" si="19">H252+G253-F253</f>
        <v>1762.5</v>
      </c>
    </row>
    <row r="254" spans="1:8" ht="12.75" customHeight="1" x14ac:dyDescent="0.2">
      <c r="A254" s="57">
        <f t="shared" si="16"/>
        <v>10</v>
      </c>
      <c r="B254" s="57">
        <f t="shared" si="17"/>
        <v>2022</v>
      </c>
      <c r="C254" s="37" t="str">
        <f t="shared" si="18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 t="shared" si="19"/>
        <v>0</v>
      </c>
    </row>
    <row r="255" spans="1:8" ht="12.75" customHeight="1" x14ac:dyDescent="0.2">
      <c r="A255" s="57">
        <f t="shared" si="16"/>
        <v>11</v>
      </c>
      <c r="B255" s="57">
        <f t="shared" si="17"/>
        <v>2022</v>
      </c>
      <c r="C255" s="37" t="str">
        <f t="shared" si="18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">
      <c r="A256" s="57">
        <f t="shared" si="16"/>
        <v>10</v>
      </c>
      <c r="B256" s="57">
        <f t="shared" si="17"/>
        <v>2022</v>
      </c>
      <c r="C256" s="37" t="str">
        <f t="shared" si="18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0" si="20">H255+G256-F256</f>
        <v>1762.5</v>
      </c>
    </row>
    <row r="257" spans="1:8" ht="12.75" customHeight="1" x14ac:dyDescent="0.2">
      <c r="A257" s="57">
        <f t="shared" si="16"/>
        <v>11</v>
      </c>
      <c r="B257" s="57">
        <f t="shared" si="17"/>
        <v>2022</v>
      </c>
      <c r="C257" s="37" t="str">
        <f t="shared" si="18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20"/>
        <v>0</v>
      </c>
    </row>
    <row r="258" spans="1:8" ht="12.75" customHeight="1" x14ac:dyDescent="0.2">
      <c r="A258" s="57">
        <f t="shared" ref="A258:A260" si="21">MONTH(D258)</f>
        <v>12</v>
      </c>
      <c r="B258" s="57">
        <f t="shared" ref="B258:B260" si="22">YEAR(D258)</f>
        <v>2022</v>
      </c>
      <c r="C258" s="37" t="str">
        <f t="shared" ref="C258:C260" si="23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20"/>
        <v>3775</v>
      </c>
    </row>
    <row r="259" spans="1:8" ht="12.75" customHeight="1" x14ac:dyDescent="0.2">
      <c r="A259" s="57">
        <f t="shared" si="21"/>
        <v>10</v>
      </c>
      <c r="B259" s="57">
        <f t="shared" si="22"/>
        <v>2022</v>
      </c>
      <c r="C259" s="37" t="str">
        <f t="shared" si="23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20"/>
        <v>1887.5</v>
      </c>
    </row>
    <row r="260" spans="1:8" ht="12.75" customHeight="1" x14ac:dyDescent="0.2">
      <c r="A260" s="57">
        <f t="shared" si="21"/>
        <v>11</v>
      </c>
      <c r="B260" s="57">
        <f t="shared" si="22"/>
        <v>2022</v>
      </c>
      <c r="C260" s="37" t="str">
        <f t="shared" si="23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20"/>
        <v>0</v>
      </c>
    </row>
    <row r="261" spans="1:8" ht="12.75" customHeight="1" x14ac:dyDescent="0.2">
      <c r="A261" s="57">
        <f t="shared" ref="A261:A293" si="24">MONTH(D261)</f>
        <v>1</v>
      </c>
      <c r="B261" s="57">
        <f t="shared" ref="B261:B293" si="25">YEAR(D261)</f>
        <v>2023</v>
      </c>
      <c r="C261" s="37" t="str">
        <f t="shared" ref="C261:C293" si="26">IFERROR("Rent: "&amp;FIND("Rent",E261),IFERROR("Priv Tax: "&amp;FIND("Tax",E261), IFERROR("Income: "&amp;FIND("Payment",E261,1),"")))</f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ref="H261:H293" si="27">H260+G261-F261</f>
        <v>3775</v>
      </c>
    </row>
    <row r="262" spans="1:8" ht="12.75" customHeight="1" x14ac:dyDescent="0.2">
      <c r="A262" s="57">
        <f t="shared" si="24"/>
        <v>12</v>
      </c>
      <c r="B262" s="57">
        <f t="shared" si="25"/>
        <v>2023</v>
      </c>
      <c r="C262" s="37" t="str">
        <f t="shared" si="26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27"/>
        <v>1887.5</v>
      </c>
    </row>
    <row r="263" spans="1:8" ht="12.75" customHeight="1" x14ac:dyDescent="0.2">
      <c r="A263" s="57">
        <f t="shared" si="24"/>
        <v>1</v>
      </c>
      <c r="B263" s="57">
        <f t="shared" si="25"/>
        <v>2023</v>
      </c>
      <c r="C263" s="37" t="str">
        <f t="shared" si="26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27"/>
        <v>0</v>
      </c>
    </row>
    <row r="264" spans="1:8" ht="12.75" customHeight="1" x14ac:dyDescent="0.2">
      <c r="A264" s="205">
        <f t="shared" si="24"/>
        <v>2</v>
      </c>
      <c r="B264" s="205">
        <f t="shared" si="25"/>
        <v>2023</v>
      </c>
      <c r="C264" s="199" t="str">
        <f t="shared" si="26"/>
        <v>Rent: 1</v>
      </c>
      <c r="D264" s="203" t="str">
        <f>MOD(MONTH(D263), 12)+1 &amp; "/1/" &amp; IF(MONTH(D263)&gt;11, YEAR(D263)+1, YEAR(D263))</f>
        <v>2/1/2023</v>
      </c>
      <c r="E264" s="204" t="str">
        <f>"Rent: "&amp;LOOKUP(A264-1, Months, TextMonths)&amp;" '"&amp;B264</f>
        <v>Rent: Feb '2023</v>
      </c>
      <c r="F264" s="162"/>
      <c r="G264" s="206">
        <v>3775</v>
      </c>
      <c r="H264" s="207">
        <f t="shared" si="27"/>
        <v>3775</v>
      </c>
    </row>
    <row r="265" spans="1:8" ht="12.75" customHeight="1" x14ac:dyDescent="0.2">
      <c r="A265" s="205">
        <f t="shared" si="24"/>
        <v>1</v>
      </c>
      <c r="B265" s="205">
        <f t="shared" si="25"/>
        <v>2023</v>
      </c>
      <c r="C265" s="199" t="str">
        <f t="shared" si="26"/>
        <v>Income: 1</v>
      </c>
      <c r="D265" s="200">
        <v>44957</v>
      </c>
      <c r="E265" s="202" t="s">
        <v>51</v>
      </c>
      <c r="F265" s="162">
        <v>1887.5</v>
      </c>
      <c r="G265" s="162"/>
      <c r="H265" s="207">
        <f t="shared" si="27"/>
        <v>1887.5</v>
      </c>
    </row>
    <row r="266" spans="1:8" ht="12.75" customHeight="1" x14ac:dyDescent="0.2">
      <c r="A266" s="205">
        <f t="shared" si="24"/>
        <v>2</v>
      </c>
      <c r="B266" s="205">
        <f t="shared" si="25"/>
        <v>2023</v>
      </c>
      <c r="C266" s="199" t="str">
        <f t="shared" si="26"/>
        <v>Income: 1</v>
      </c>
      <c r="D266" s="200">
        <v>44958</v>
      </c>
      <c r="E266" s="202" t="s">
        <v>51</v>
      </c>
      <c r="F266" s="162">
        <v>1887.5</v>
      </c>
      <c r="G266" s="162"/>
      <c r="H266" s="207">
        <f t="shared" si="27"/>
        <v>0</v>
      </c>
    </row>
    <row r="267" spans="1:8" ht="12.75" customHeight="1" x14ac:dyDescent="0.2">
      <c r="A267" s="232">
        <f t="shared" si="24"/>
        <v>3</v>
      </c>
      <c r="B267" s="232">
        <f t="shared" si="25"/>
        <v>2023</v>
      </c>
      <c r="C267" s="102" t="str">
        <f t="shared" si="26"/>
        <v>Rent: 1</v>
      </c>
      <c r="D267" s="120" t="str">
        <f>MOD(MONTH(D266), 12)+1 &amp; "/1/" &amp; IF(MONTH(D266)&gt;11, YEAR(D266)+1, YEAR(D266))</f>
        <v>3/1/2023</v>
      </c>
      <c r="E267" s="121" t="str">
        <f>"Rent: "&amp;LOOKUP(A267-1, Months, TextMonths)&amp;" '"&amp;B267</f>
        <v>Rent: Mar '2023</v>
      </c>
      <c r="F267" s="36"/>
      <c r="G267" s="233">
        <v>3775</v>
      </c>
      <c r="H267" s="63">
        <f t="shared" si="27"/>
        <v>3775</v>
      </c>
    </row>
    <row r="268" spans="1:8" ht="12.75" customHeight="1" x14ac:dyDescent="0.2">
      <c r="A268" s="232">
        <f t="shared" si="24"/>
        <v>3</v>
      </c>
      <c r="B268" s="232">
        <f t="shared" si="25"/>
        <v>2023</v>
      </c>
      <c r="C268" s="102" t="str">
        <f t="shared" si="26"/>
        <v>Income: 1</v>
      </c>
      <c r="D268" s="28">
        <v>44986</v>
      </c>
      <c r="E268" s="29" t="s">
        <v>51</v>
      </c>
      <c r="F268" s="36">
        <v>387.5</v>
      </c>
      <c r="G268" s="36"/>
      <c r="H268" s="63">
        <f t="shared" si="27"/>
        <v>3387.5</v>
      </c>
    </row>
    <row r="269" spans="1:8" ht="12.75" customHeight="1" x14ac:dyDescent="0.2">
      <c r="A269" s="232">
        <f t="shared" si="24"/>
        <v>3</v>
      </c>
      <c r="B269" s="232">
        <f t="shared" si="25"/>
        <v>2023</v>
      </c>
      <c r="C269" s="102" t="str">
        <f t="shared" si="26"/>
        <v>Income: 1</v>
      </c>
      <c r="D269" s="28">
        <v>44986</v>
      </c>
      <c r="E269" s="29" t="s">
        <v>51</v>
      </c>
      <c r="F269" s="36">
        <v>1887.5</v>
      </c>
      <c r="G269" s="36"/>
      <c r="H269" s="63">
        <f t="shared" si="27"/>
        <v>1500</v>
      </c>
    </row>
    <row r="270" spans="1:8" ht="12.75" customHeight="1" x14ac:dyDescent="0.2">
      <c r="A270" s="232">
        <f t="shared" si="24"/>
        <v>3</v>
      </c>
      <c r="B270" s="232">
        <f t="shared" si="25"/>
        <v>2023</v>
      </c>
      <c r="C270" s="102" t="str">
        <f t="shared" si="26"/>
        <v>Income: 1</v>
      </c>
      <c r="D270" s="28">
        <v>44987</v>
      </c>
      <c r="E270" s="29" t="s">
        <v>51</v>
      </c>
      <c r="F270" s="36">
        <v>1500</v>
      </c>
      <c r="G270" s="36"/>
      <c r="H270" s="63">
        <f t="shared" si="27"/>
        <v>0</v>
      </c>
    </row>
    <row r="271" spans="1:8" ht="12.75" customHeight="1" x14ac:dyDescent="0.2">
      <c r="A271" s="232">
        <f t="shared" si="24"/>
        <v>4</v>
      </c>
      <c r="B271" s="232">
        <f t="shared" si="25"/>
        <v>2023</v>
      </c>
      <c r="C271" s="102" t="str">
        <f t="shared" si="26"/>
        <v>Rent: 1</v>
      </c>
      <c r="D271" s="120" t="str">
        <f>MOD(MONTH(D269), 12)+1 &amp; "/1/" &amp; IF(MONTH(D269)&gt;11, YEAR(D269)+1, YEAR(D269))</f>
        <v>4/1/2023</v>
      </c>
      <c r="E271" s="121" t="str">
        <f>"Rent: "&amp;LOOKUP(A271-1, Months, TextMonths)&amp;" '"&amp;B271</f>
        <v>Rent: Apr '2023</v>
      </c>
      <c r="F271" s="36"/>
      <c r="G271" s="233">
        <v>3775</v>
      </c>
      <c r="H271" s="63">
        <f t="shared" si="27"/>
        <v>3775</v>
      </c>
    </row>
    <row r="272" spans="1:8" ht="12.75" customHeight="1" x14ac:dyDescent="0.2">
      <c r="A272" s="232">
        <f t="shared" si="24"/>
        <v>4</v>
      </c>
      <c r="B272" s="232">
        <f t="shared" si="25"/>
        <v>2023</v>
      </c>
      <c r="C272" s="102" t="str">
        <f t="shared" si="26"/>
        <v>Income: 1</v>
      </c>
      <c r="D272" s="28">
        <v>45019</v>
      </c>
      <c r="E272" s="29" t="s">
        <v>51</v>
      </c>
      <c r="F272" s="36">
        <v>1887.5</v>
      </c>
      <c r="G272" s="36"/>
      <c r="H272" s="63">
        <f t="shared" si="27"/>
        <v>1887.5</v>
      </c>
    </row>
    <row r="273" spans="1:8" ht="12.75" customHeight="1" x14ac:dyDescent="0.2">
      <c r="A273" s="232">
        <f t="shared" si="24"/>
        <v>4</v>
      </c>
      <c r="B273" s="232">
        <f t="shared" si="25"/>
        <v>2023</v>
      </c>
      <c r="C273" s="102" t="str">
        <f t="shared" si="26"/>
        <v>Income: 1</v>
      </c>
      <c r="D273" s="28">
        <v>45019</v>
      </c>
      <c r="E273" s="29" t="s">
        <v>51</v>
      </c>
      <c r="F273" s="36">
        <v>1887.5</v>
      </c>
      <c r="G273" s="36"/>
      <c r="H273" s="63">
        <f t="shared" si="27"/>
        <v>0</v>
      </c>
    </row>
    <row r="274" spans="1:8" ht="12.75" customHeight="1" x14ac:dyDescent="0.2">
      <c r="A274" s="232">
        <f t="shared" si="24"/>
        <v>5</v>
      </c>
      <c r="B274" s="232">
        <f t="shared" si="25"/>
        <v>2023</v>
      </c>
      <c r="C274" s="102" t="str">
        <f t="shared" si="26"/>
        <v>Rent: 1</v>
      </c>
      <c r="D274" s="120" t="str">
        <f>MOD(MONTH(D272), 12)+1 &amp; "/1/" &amp; IF(MONTH(D272)&gt;11, YEAR(D272)+1, YEAR(D272))</f>
        <v>5/1/2023</v>
      </c>
      <c r="E274" s="121" t="str">
        <f>"Rent: "&amp;LOOKUP(A274-1, Months, TextMonths)&amp;" '"&amp;B274</f>
        <v>Rent: May '2023</v>
      </c>
      <c r="F274" s="36"/>
      <c r="G274" s="233">
        <v>3775</v>
      </c>
      <c r="H274" s="63">
        <f t="shared" si="27"/>
        <v>3775</v>
      </c>
    </row>
    <row r="275" spans="1:8" ht="12.75" customHeight="1" x14ac:dyDescent="0.2">
      <c r="A275" s="232">
        <f t="shared" si="24"/>
        <v>5</v>
      </c>
      <c r="B275" s="232">
        <f t="shared" si="25"/>
        <v>2023</v>
      </c>
      <c r="C275" s="102" t="str">
        <f t="shared" si="26"/>
        <v>Income: 1</v>
      </c>
      <c r="D275" s="28">
        <v>45048</v>
      </c>
      <c r="E275" s="29" t="s">
        <v>51</v>
      </c>
      <c r="F275" s="36">
        <v>1887.5</v>
      </c>
      <c r="G275" s="36"/>
      <c r="H275" s="63">
        <f t="shared" si="27"/>
        <v>1887.5</v>
      </c>
    </row>
    <row r="276" spans="1:8" ht="12.75" customHeight="1" x14ac:dyDescent="0.2">
      <c r="A276" s="232">
        <f t="shared" si="24"/>
        <v>5</v>
      </c>
      <c r="B276" s="232">
        <f t="shared" si="25"/>
        <v>2023</v>
      </c>
      <c r="C276" s="102" t="str">
        <f t="shared" si="26"/>
        <v>Income: 1</v>
      </c>
      <c r="D276" s="28">
        <v>45048</v>
      </c>
      <c r="E276" s="29" t="s">
        <v>51</v>
      </c>
      <c r="F276" s="36">
        <v>1526.19</v>
      </c>
      <c r="G276" s="36"/>
      <c r="H276" s="63">
        <f t="shared" si="27"/>
        <v>361.30999999999995</v>
      </c>
    </row>
    <row r="277" spans="1:8" ht="12.75" customHeight="1" x14ac:dyDescent="0.2">
      <c r="A277" s="232">
        <f t="shared" si="24"/>
        <v>5</v>
      </c>
      <c r="B277" s="232">
        <f t="shared" si="25"/>
        <v>2023</v>
      </c>
      <c r="C277" s="102" t="str">
        <f t="shared" si="26"/>
        <v>Income: 1</v>
      </c>
      <c r="D277" s="28">
        <v>45049</v>
      </c>
      <c r="E277" s="29" t="s">
        <v>51</v>
      </c>
      <c r="F277" s="36">
        <v>361.31</v>
      </c>
      <c r="G277" s="36"/>
      <c r="H277" s="63">
        <f t="shared" si="27"/>
        <v>0</v>
      </c>
    </row>
    <row r="278" spans="1:8" ht="12.75" customHeight="1" x14ac:dyDescent="0.2">
      <c r="A278" s="232">
        <f t="shared" si="24"/>
        <v>6</v>
      </c>
      <c r="B278" s="232">
        <f t="shared" si="25"/>
        <v>2023</v>
      </c>
      <c r="C278" s="102" t="str">
        <f t="shared" si="26"/>
        <v>Rent: 1</v>
      </c>
      <c r="D278" s="120" t="str">
        <f>MOD(MONTH(D276), 12)+1 &amp; "/1/" &amp; IF(MONTH(D276)&gt;11, YEAR(D276)+1, YEAR(D276))</f>
        <v>6/1/2023</v>
      </c>
      <c r="E278" s="121" t="str">
        <f>"Rent: "&amp;LOOKUP(A278-1, Months, TextMonths)&amp;" '"&amp;B278</f>
        <v>Rent: Jun '2023</v>
      </c>
      <c r="F278" s="36"/>
      <c r="G278" s="233">
        <v>3775</v>
      </c>
      <c r="H278" s="63">
        <f t="shared" si="27"/>
        <v>3775</v>
      </c>
    </row>
    <row r="279" spans="1:8" ht="12.75" customHeight="1" x14ac:dyDescent="0.2">
      <c r="A279" s="232">
        <f t="shared" si="24"/>
        <v>5</v>
      </c>
      <c r="B279" s="232">
        <f t="shared" si="25"/>
        <v>2023</v>
      </c>
      <c r="C279" s="102" t="str">
        <f t="shared" si="26"/>
        <v>Income: 1</v>
      </c>
      <c r="D279" s="28">
        <v>45077</v>
      </c>
      <c r="E279" s="29" t="s">
        <v>51</v>
      </c>
      <c r="F279" s="36">
        <v>1887.5</v>
      </c>
      <c r="G279" s="36"/>
      <c r="H279" s="63">
        <f t="shared" si="27"/>
        <v>1887.5</v>
      </c>
    </row>
    <row r="280" spans="1:8" ht="12.75" customHeight="1" x14ac:dyDescent="0.2">
      <c r="A280" s="232">
        <f t="shared" si="24"/>
        <v>7</v>
      </c>
      <c r="B280" s="232">
        <f t="shared" si="25"/>
        <v>2023</v>
      </c>
      <c r="C280" s="102" t="str">
        <f t="shared" si="26"/>
        <v>Rent: 1</v>
      </c>
      <c r="D280" s="120" t="str">
        <f>MOD(MONTH(D278), 12)+1 &amp; "/1/" &amp; IF(MONTH(D278)&gt;11, YEAR(D278)+1, YEAR(D278))</f>
        <v>7/1/2023</v>
      </c>
      <c r="E280" s="121" t="str">
        <f>"Rent: "&amp;LOOKUP(A280-1, Months, TextMonths)&amp;" '"&amp;B280</f>
        <v>Rent: Jul '2023</v>
      </c>
      <c r="F280" s="36"/>
      <c r="G280" s="233">
        <v>3775</v>
      </c>
      <c r="H280" s="63">
        <f t="shared" si="27"/>
        <v>5662.5</v>
      </c>
    </row>
    <row r="281" spans="1:8" ht="12.75" customHeight="1" x14ac:dyDescent="0.2">
      <c r="A281" s="232">
        <f t="shared" si="24"/>
        <v>6</v>
      </c>
      <c r="B281" s="232">
        <f t="shared" si="25"/>
        <v>2023</v>
      </c>
      <c r="C281" s="102" t="str">
        <f t="shared" si="26"/>
        <v>Income: 1</v>
      </c>
      <c r="D281" s="28">
        <v>45106</v>
      </c>
      <c r="E281" s="29" t="s">
        <v>51</v>
      </c>
      <c r="F281" s="36">
        <v>1500</v>
      </c>
      <c r="G281" s="36"/>
      <c r="H281" s="63">
        <f t="shared" si="27"/>
        <v>4162.5</v>
      </c>
    </row>
    <row r="282" spans="1:8" ht="12.75" customHeight="1" x14ac:dyDescent="0.2">
      <c r="A282" s="232">
        <f t="shared" si="24"/>
        <v>6</v>
      </c>
      <c r="B282" s="232">
        <f t="shared" si="25"/>
        <v>2023</v>
      </c>
      <c r="C282" s="102" t="str">
        <f t="shared" si="26"/>
        <v>Income: 1</v>
      </c>
      <c r="D282" s="28">
        <v>45106</v>
      </c>
      <c r="E282" s="29" t="s">
        <v>51</v>
      </c>
      <c r="F282" s="36">
        <v>387.5</v>
      </c>
      <c r="G282" s="36"/>
      <c r="H282" s="63">
        <f t="shared" si="27"/>
        <v>3775</v>
      </c>
    </row>
    <row r="283" spans="1:8" ht="12.75" customHeight="1" x14ac:dyDescent="0.2">
      <c r="A283" s="232">
        <f t="shared" si="24"/>
        <v>6</v>
      </c>
      <c r="B283" s="232">
        <f t="shared" si="25"/>
        <v>3023</v>
      </c>
      <c r="C283" s="102" t="str">
        <f t="shared" si="26"/>
        <v>Income: 1</v>
      </c>
      <c r="D283" s="28">
        <v>410320</v>
      </c>
      <c r="E283" s="29" t="s">
        <v>51</v>
      </c>
      <c r="F283" s="36">
        <v>1887.5</v>
      </c>
      <c r="G283" s="36"/>
      <c r="H283" s="63">
        <f t="shared" si="27"/>
        <v>1887.5</v>
      </c>
    </row>
    <row r="284" spans="1:8" ht="12.75" customHeight="1" x14ac:dyDescent="0.2">
      <c r="A284" s="232">
        <f t="shared" si="24"/>
        <v>7</v>
      </c>
      <c r="B284" s="232">
        <f t="shared" si="25"/>
        <v>2023</v>
      </c>
      <c r="C284" s="102" t="str">
        <f t="shared" si="26"/>
        <v>Income: 1</v>
      </c>
      <c r="D284" s="28">
        <v>45110</v>
      </c>
      <c r="E284" s="29" t="s">
        <v>51</v>
      </c>
      <c r="F284" s="36">
        <v>1887.5</v>
      </c>
      <c r="G284" s="36"/>
      <c r="H284" s="63">
        <f t="shared" si="27"/>
        <v>0</v>
      </c>
    </row>
    <row r="285" spans="1:8" ht="12.75" customHeight="1" x14ac:dyDescent="0.2">
      <c r="A285" s="232">
        <f t="shared" si="24"/>
        <v>8</v>
      </c>
      <c r="B285" s="232">
        <f t="shared" si="25"/>
        <v>2023</v>
      </c>
      <c r="C285" s="102" t="str">
        <f t="shared" si="26"/>
        <v>Rent: 1</v>
      </c>
      <c r="D285" s="120" t="str">
        <f>MOD(MONTH(D280), 12)+1 &amp; "/1/" &amp; IF(MONTH(D280)&gt;11, YEAR(D280)+1, YEAR(D280))</f>
        <v>8/1/2023</v>
      </c>
      <c r="E285" s="121" t="str">
        <f>"Rent: "&amp;LOOKUP(A285-1, Months, TextMonths)&amp;" '"&amp;B285</f>
        <v>Rent: Aug '2023</v>
      </c>
      <c r="F285" s="36"/>
      <c r="G285" s="233">
        <v>3775</v>
      </c>
      <c r="H285" s="63">
        <f t="shared" si="27"/>
        <v>3775</v>
      </c>
    </row>
    <row r="286" spans="1:8" ht="12.75" customHeight="1" x14ac:dyDescent="0.2">
      <c r="A286" s="232">
        <f t="shared" si="24"/>
        <v>7</v>
      </c>
      <c r="B286" s="232">
        <f t="shared" si="25"/>
        <v>2023</v>
      </c>
      <c r="C286" s="102" t="str">
        <f t="shared" si="26"/>
        <v>Income: 1</v>
      </c>
      <c r="D286" s="28">
        <v>45138</v>
      </c>
      <c r="E286" s="29" t="s">
        <v>51</v>
      </c>
      <c r="F286" s="36">
        <v>1887.5</v>
      </c>
      <c r="G286" s="36"/>
      <c r="H286" s="63">
        <f t="shared" si="27"/>
        <v>1887.5</v>
      </c>
    </row>
    <row r="287" spans="1:8" ht="12.75" customHeight="1" x14ac:dyDescent="0.2">
      <c r="A287" s="232">
        <f t="shared" si="24"/>
        <v>8</v>
      </c>
      <c r="B287" s="232">
        <f t="shared" si="25"/>
        <v>2023</v>
      </c>
      <c r="C287" s="102" t="str">
        <f t="shared" si="26"/>
        <v>Income: 1</v>
      </c>
      <c r="D287" s="28">
        <v>45139</v>
      </c>
      <c r="E287" s="29" t="s">
        <v>51</v>
      </c>
      <c r="F287" s="36">
        <v>1887.5</v>
      </c>
      <c r="G287" s="36"/>
      <c r="H287" s="63">
        <f t="shared" si="27"/>
        <v>0</v>
      </c>
    </row>
    <row r="288" spans="1:8" ht="12.75" customHeight="1" x14ac:dyDescent="0.2">
      <c r="A288" s="232">
        <f t="shared" si="24"/>
        <v>9</v>
      </c>
      <c r="B288" s="232">
        <f t="shared" si="25"/>
        <v>2023</v>
      </c>
      <c r="C288" s="102" t="str">
        <f t="shared" si="26"/>
        <v>Rent: 1</v>
      </c>
      <c r="D288" s="120" t="str">
        <f>MOD(MONTH(D285), 12)+1 &amp; "/1/" &amp; IF(MONTH(D285)&gt;11, YEAR(D285)+1, YEAR(D285))</f>
        <v>9/1/2023</v>
      </c>
      <c r="E288" s="121" t="str">
        <f>"Rent: "&amp;LOOKUP(A288-1, Months, TextMonths)&amp;" '"&amp;B288</f>
        <v>Rent: Sep '2023</v>
      </c>
      <c r="F288" s="36"/>
      <c r="G288" s="233">
        <v>3775</v>
      </c>
      <c r="H288" s="63">
        <f t="shared" si="27"/>
        <v>3775</v>
      </c>
    </row>
    <row r="289" spans="1:8" ht="12.75" customHeight="1" x14ac:dyDescent="0.2">
      <c r="A289" s="232">
        <f t="shared" si="24"/>
        <v>8</v>
      </c>
      <c r="B289" s="232">
        <f t="shared" si="25"/>
        <v>2023</v>
      </c>
      <c r="C289" s="102" t="str">
        <f t="shared" si="26"/>
        <v>Income: 1</v>
      </c>
      <c r="D289" s="28">
        <v>45169</v>
      </c>
      <c r="E289" s="29" t="s">
        <v>51</v>
      </c>
      <c r="F289" s="36">
        <v>1887.5</v>
      </c>
      <c r="G289" s="36"/>
      <c r="H289" s="63">
        <f t="shared" si="27"/>
        <v>1887.5</v>
      </c>
    </row>
    <row r="290" spans="1:8" ht="12.75" customHeight="1" x14ac:dyDescent="0.2">
      <c r="A290" s="232">
        <f t="shared" si="24"/>
        <v>9</v>
      </c>
      <c r="B290" s="232">
        <f t="shared" si="25"/>
        <v>2023</v>
      </c>
      <c r="C290" s="102" t="str">
        <f t="shared" si="26"/>
        <v>Income: 1</v>
      </c>
      <c r="D290" s="28">
        <v>45170</v>
      </c>
      <c r="E290" s="29" t="s">
        <v>51</v>
      </c>
      <c r="F290" s="36">
        <v>1887.5</v>
      </c>
      <c r="G290" s="36"/>
      <c r="H290" s="63">
        <f t="shared" si="27"/>
        <v>0</v>
      </c>
    </row>
    <row r="291" spans="1:8" ht="12.75" customHeight="1" x14ac:dyDescent="0.2">
      <c r="A291" s="232">
        <f t="shared" si="24"/>
        <v>10</v>
      </c>
      <c r="B291" s="232">
        <f t="shared" si="25"/>
        <v>2023</v>
      </c>
      <c r="C291" s="102" t="str">
        <f t="shared" si="26"/>
        <v>Rent: 1</v>
      </c>
      <c r="D291" s="120" t="str">
        <f>MOD(MONTH(D288), 12)+1 &amp; "/1/" &amp; IF(MONTH(D288)&gt;11, YEAR(D288)+1, YEAR(D288))</f>
        <v>10/1/2023</v>
      </c>
      <c r="E291" s="121" t="str">
        <f>"Rent: "&amp;LOOKUP(A291-1, Months, TextMonths)&amp;" '"&amp;B291</f>
        <v>Rent: Oct '2023</v>
      </c>
      <c r="F291" s="36"/>
      <c r="G291" s="233">
        <v>3775</v>
      </c>
      <c r="H291" s="63">
        <f t="shared" si="27"/>
        <v>3775</v>
      </c>
    </row>
    <row r="292" spans="1:8" ht="12.75" customHeight="1" x14ac:dyDescent="0.2">
      <c r="A292" s="232">
        <f t="shared" si="24"/>
        <v>10</v>
      </c>
      <c r="B292" s="232">
        <f t="shared" si="25"/>
        <v>2023</v>
      </c>
      <c r="C292" s="102" t="str">
        <f t="shared" si="26"/>
        <v>Income: 1</v>
      </c>
      <c r="D292" s="28">
        <v>45201</v>
      </c>
      <c r="E292" s="29" t="s">
        <v>51</v>
      </c>
      <c r="F292" s="36">
        <v>1887.5</v>
      </c>
      <c r="G292" s="36"/>
      <c r="H292" s="63">
        <f t="shared" si="27"/>
        <v>1887.5</v>
      </c>
    </row>
    <row r="293" spans="1:8" ht="12.75" customHeight="1" x14ac:dyDescent="0.2">
      <c r="A293" s="232">
        <f t="shared" si="24"/>
        <v>10</v>
      </c>
      <c r="B293" s="232">
        <f t="shared" si="25"/>
        <v>2023</v>
      </c>
      <c r="C293" s="102" t="str">
        <f t="shared" si="26"/>
        <v>Income: 1</v>
      </c>
      <c r="D293" s="28">
        <v>45201</v>
      </c>
      <c r="E293" s="29" t="s">
        <v>51</v>
      </c>
      <c r="F293" s="36">
        <v>1887.5</v>
      </c>
      <c r="G293" s="36"/>
      <c r="H293" s="63">
        <f t="shared" si="27"/>
        <v>0</v>
      </c>
    </row>
    <row r="294" spans="1:8" ht="12.75" customHeight="1" x14ac:dyDescent="0.2">
      <c r="F294" s="36"/>
      <c r="G294" s="36"/>
      <c r="H294" s="36"/>
    </row>
    <row r="295" spans="1:8" ht="12.75" customHeight="1" x14ac:dyDescent="0.2">
      <c r="F295" s="36"/>
      <c r="G295" s="36"/>
      <c r="H295" s="36"/>
    </row>
    <row r="296" spans="1:8" ht="12.75" customHeight="1" x14ac:dyDescent="0.2">
      <c r="F296" s="36"/>
      <c r="G296" s="36"/>
      <c r="H296" s="36"/>
    </row>
    <row r="297" spans="1:8" ht="12.75" customHeight="1" x14ac:dyDescent="0.2">
      <c r="F297" s="36"/>
      <c r="G297" s="36"/>
      <c r="H297" s="36"/>
    </row>
    <row r="298" spans="1:8" ht="12.75" customHeight="1" x14ac:dyDescent="0.2">
      <c r="F298" s="36"/>
      <c r="G298" s="36"/>
      <c r="H298" s="36"/>
    </row>
    <row r="299" spans="1:8" ht="12.75" customHeight="1" x14ac:dyDescent="0.2">
      <c r="F299" s="36"/>
      <c r="G299" s="36"/>
      <c r="H299" s="36"/>
    </row>
    <row r="300" spans="1:8" ht="12.75" customHeight="1" x14ac:dyDescent="0.2">
      <c r="F300" s="36"/>
      <c r="G300" s="36"/>
      <c r="H300" s="36"/>
    </row>
    <row r="301" spans="1:8" ht="12.75" customHeight="1" x14ac:dyDescent="0.2">
      <c r="F301" s="36"/>
      <c r="G301" s="36"/>
      <c r="H301" s="36"/>
    </row>
    <row r="302" spans="1:8" ht="12.75" customHeight="1" x14ac:dyDescent="0.2">
      <c r="F302" s="36"/>
      <c r="G302" s="36"/>
      <c r="H302" s="36"/>
    </row>
    <row r="303" spans="1:8" ht="12.75" customHeight="1" x14ac:dyDescent="0.2">
      <c r="F303" s="36"/>
      <c r="G303" s="36"/>
      <c r="H303" s="36"/>
    </row>
    <row r="304" spans="1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</sheetData>
  <phoneticPr fontId="17" type="noConversion"/>
  <dataValidations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workbookViewId="0">
      <pane xSplit="2" ySplit="4" topLeftCell="H5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K14" sqref="K14"/>
    </sheetView>
  </sheetViews>
  <sheetFormatPr defaultColWidth="12.5703125" defaultRowHeight="15" customHeight="1" x14ac:dyDescent="0.2"/>
  <cols>
    <col min="1" max="1" width="13.8554687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140625" customWidth="1"/>
    <col min="13" max="13" width="11.85546875" customWidth="1"/>
    <col min="14" max="14" width="16.7109375" customWidth="1"/>
    <col min="15" max="16" width="11.28515625" customWidth="1"/>
    <col min="17" max="26" width="8.5703125" customWidth="1"/>
  </cols>
  <sheetData>
    <row r="1" spans="1:26" ht="12.75" customHeight="1" x14ac:dyDescent="0.2">
      <c r="C1" s="30" t="s">
        <v>127</v>
      </c>
      <c r="D1" s="163" t="s">
        <v>141</v>
      </c>
      <c r="E1" s="104"/>
      <c r="F1" s="104" t="s">
        <v>175</v>
      </c>
      <c r="G1" s="150" t="s">
        <v>123</v>
      </c>
      <c r="H1" s="34" t="s">
        <v>52</v>
      </c>
      <c r="I1" s="147"/>
      <c r="J1" s="104"/>
      <c r="K1" s="51"/>
      <c r="L1" s="51"/>
    </row>
    <row r="2" spans="1:26" ht="12.75" customHeight="1" x14ac:dyDescent="0.2">
      <c r="D2" t="s">
        <v>140</v>
      </c>
      <c r="E2" s="104"/>
      <c r="F2" s="36">
        <v>3200</v>
      </c>
      <c r="G2" s="151">
        <v>3</v>
      </c>
      <c r="H2" s="105">
        <v>50</v>
      </c>
      <c r="I2" s="153" t="s">
        <v>41</v>
      </c>
      <c r="J2" s="104"/>
      <c r="K2" s="51"/>
    </row>
    <row r="3" spans="1:26" ht="12.75" customHeight="1" x14ac:dyDescent="0.25">
      <c r="A3" s="30">
        <f>COUNTIF(A7:A65542, "&lt;&gt;")+1</f>
        <v>174</v>
      </c>
      <c r="D3" s="35">
        <f t="array" ref="D3">INDEX(D7:D65541, A3)</f>
        <v>45204</v>
      </c>
      <c r="E3" s="122"/>
      <c r="F3" s="105"/>
      <c r="G3" s="149" t="s">
        <v>40</v>
      </c>
      <c r="H3" s="152">
        <f t="array" ref="H3">INDEX(H7:H65541, A3)</f>
        <v>1450</v>
      </c>
      <c r="I3" s="156">
        <v>45352</v>
      </c>
      <c r="J3" s="105"/>
      <c r="K3" s="67" t="s">
        <v>65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259" t="s">
        <v>66</v>
      </c>
      <c r="J4" s="260"/>
      <c r="K4" s="261"/>
      <c r="L4" s="69" t="s">
        <v>67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t="s">
        <v>189</v>
      </c>
      <c r="B5" s="163" t="s">
        <v>192</v>
      </c>
      <c r="J5" s="257"/>
      <c r="K5" s="257"/>
      <c r="L5" s="258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x14ac:dyDescent="0.2">
      <c r="A6" s="163" t="s">
        <v>177</v>
      </c>
      <c r="B6" t="s">
        <v>128</v>
      </c>
    </row>
    <row r="7" spans="1:26" ht="12.75" customHeight="1" x14ac:dyDescent="0.25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25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68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69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 t="shared" ref="D10:D11" si="4"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 t="shared" si="4"/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70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70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70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70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70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70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70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70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70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70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70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70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70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70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70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70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70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70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71</v>
      </c>
      <c r="F42" s="36">
        <v>2475</v>
      </c>
      <c r="G42" s="36"/>
      <c r="H42" s="38"/>
      <c r="I42" s="29"/>
      <c r="J42" s="29"/>
    </row>
    <row r="43" spans="1:11" ht="12.75" customHeight="1" x14ac:dyDescent="0.2">
      <c r="A43" s="55"/>
      <c r="B43" s="55"/>
      <c r="C43" s="55" t="str">
        <f t="shared" si="2"/>
        <v/>
      </c>
      <c r="D43" s="55"/>
      <c r="E43" s="55" t="s">
        <v>72</v>
      </c>
      <c r="F43" s="56"/>
      <c r="G43" s="56"/>
      <c r="H43" s="56"/>
    </row>
    <row r="44" spans="1:11" ht="12.75" customHeight="1" x14ac:dyDescent="0.2">
      <c r="A44" s="163" t="s">
        <v>124</v>
      </c>
      <c r="C44" s="163" t="s">
        <v>136</v>
      </c>
    </row>
    <row r="45" spans="1:11" ht="12.75" customHeight="1" x14ac:dyDescent="0.2">
      <c r="A45" s="37">
        <f t="shared" ref="A45:A105" si="5">MONTH(D45)</f>
        <v>2</v>
      </c>
      <c r="B45" s="37">
        <f t="shared" ref="B45:B105" si="6">YEAR(D45)</f>
        <v>2020</v>
      </c>
      <c r="C45" s="37" t="str">
        <f t="shared" si="2"/>
        <v>Rent: 1</v>
      </c>
      <c r="D45" s="40">
        <v>43870</v>
      </c>
      <c r="E45" s="39" t="str">
        <f>"Rent: "&amp;LOOKUP(A45, Months, TextMonths)&amp;" '"&amp;B45</f>
        <v>Rent: Mar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">
      <c r="A46" s="37">
        <f t="shared" si="5"/>
        <v>2</v>
      </c>
      <c r="B46" s="37">
        <f t="shared" si="6"/>
        <v>2020</v>
      </c>
      <c r="C46" s="37" t="str">
        <f t="shared" si="2"/>
        <v>Income: 1</v>
      </c>
      <c r="D46" s="28">
        <v>43871</v>
      </c>
      <c r="E46" s="29" t="s">
        <v>51</v>
      </c>
      <c r="F46" s="36">
        <v>1000</v>
      </c>
      <c r="G46" s="36"/>
      <c r="H46" s="38">
        <f t="shared" ref="H46:H133" si="7">H45+G46-F46</f>
        <v>2200</v>
      </c>
      <c r="I46" s="30"/>
    </row>
    <row r="47" spans="1:11" ht="12.75" customHeight="1" x14ac:dyDescent="0.25">
      <c r="A47" s="37">
        <f t="shared" si="5"/>
        <v>3</v>
      </c>
      <c r="B47" s="37">
        <f t="shared" si="6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7"/>
        <v>5400</v>
      </c>
      <c r="J47" s="36"/>
      <c r="K47" s="15"/>
    </row>
    <row r="48" spans="1:11" ht="12.75" customHeight="1" x14ac:dyDescent="0.2">
      <c r="A48" s="37">
        <f t="shared" si="5"/>
        <v>3</v>
      </c>
      <c r="B48" s="37">
        <f t="shared" si="6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7"/>
        <v>3400</v>
      </c>
      <c r="I48" s="29"/>
      <c r="K48" s="15"/>
    </row>
    <row r="49" spans="1:16" ht="12.75" customHeight="1" x14ac:dyDescent="0.2">
      <c r="A49" s="37">
        <f t="shared" si="5"/>
        <v>3</v>
      </c>
      <c r="B49" s="37">
        <f t="shared" si="6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7"/>
        <v>0</v>
      </c>
      <c r="I49" s="29"/>
      <c r="K49" s="15"/>
    </row>
    <row r="50" spans="1:16" ht="12.75" customHeight="1" x14ac:dyDescent="0.2">
      <c r="A50" s="37">
        <f t="shared" si="5"/>
        <v>4</v>
      </c>
      <c r="B50" s="37">
        <f t="shared" si="6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7"/>
        <v>3200</v>
      </c>
      <c r="I50" s="29"/>
    </row>
    <row r="51" spans="1:16" ht="12.75" customHeight="1" x14ac:dyDescent="0.2">
      <c r="A51" s="37">
        <f t="shared" si="5"/>
        <v>4</v>
      </c>
      <c r="B51" s="37">
        <f t="shared" si="6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7"/>
        <v>1200</v>
      </c>
      <c r="I51" s="30"/>
    </row>
    <row r="52" spans="1:16" ht="12.75" customHeight="1" x14ac:dyDescent="0.2">
      <c r="A52" s="37">
        <f t="shared" si="5"/>
        <v>4</v>
      </c>
      <c r="B52" s="37">
        <f t="shared" si="6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7"/>
        <v>120</v>
      </c>
      <c r="I52" s="30"/>
    </row>
    <row r="53" spans="1:16" ht="12.75" customHeight="1" x14ac:dyDescent="0.2">
      <c r="A53" s="37">
        <f t="shared" si="5"/>
        <v>4</v>
      </c>
      <c r="B53" s="37">
        <f t="shared" si="6"/>
        <v>2020</v>
      </c>
      <c r="C53" s="37" t="str">
        <f t="shared" si="2"/>
        <v/>
      </c>
      <c r="D53" s="28">
        <v>43923</v>
      </c>
      <c r="E53" s="29" t="s">
        <v>73</v>
      </c>
      <c r="F53" s="36">
        <v>120</v>
      </c>
      <c r="G53" s="36"/>
      <c r="H53" s="38">
        <f t="shared" si="7"/>
        <v>0</v>
      </c>
    </row>
    <row r="54" spans="1:16" ht="12.75" customHeight="1" x14ac:dyDescent="0.2">
      <c r="A54" s="37">
        <f t="shared" si="5"/>
        <v>5</v>
      </c>
      <c r="B54" s="37">
        <f t="shared" si="6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7"/>
        <v>3200</v>
      </c>
      <c r="I54" s="29"/>
    </row>
    <row r="55" spans="1:16" ht="12.75" customHeight="1" x14ac:dyDescent="0.2">
      <c r="A55" s="37">
        <f t="shared" si="5"/>
        <v>5</v>
      </c>
      <c r="B55" s="37">
        <f t="shared" si="6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7"/>
        <v>1200</v>
      </c>
      <c r="I55" s="30"/>
    </row>
    <row r="56" spans="1:16" ht="12.75" customHeight="1" x14ac:dyDescent="0.2">
      <c r="A56" s="37">
        <f t="shared" si="5"/>
        <v>5</v>
      </c>
      <c r="B56" s="37">
        <f t="shared" si="6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7"/>
        <v>0</v>
      </c>
    </row>
    <row r="57" spans="1:16" ht="12.75" customHeight="1" x14ac:dyDescent="0.2">
      <c r="A57" s="37">
        <f t="shared" si="5"/>
        <v>6</v>
      </c>
      <c r="B57" s="37">
        <f t="shared" si="6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7"/>
        <v>3200</v>
      </c>
      <c r="I57" s="29"/>
      <c r="N57" s="72"/>
      <c r="O57" s="72"/>
    </row>
    <row r="58" spans="1:16" ht="12.75" customHeight="1" x14ac:dyDescent="0.2">
      <c r="A58" s="37">
        <f t="shared" si="5"/>
        <v>6</v>
      </c>
      <c r="B58" s="37">
        <f t="shared" si="6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7"/>
        <v>1200</v>
      </c>
      <c r="I58" s="30"/>
      <c r="N58" s="28"/>
      <c r="P58" s="72"/>
    </row>
    <row r="59" spans="1:16" ht="12.75" customHeight="1" x14ac:dyDescent="0.2">
      <c r="A59" s="37">
        <f t="shared" si="5"/>
        <v>6</v>
      </c>
      <c r="B59" s="37">
        <f t="shared" si="6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7"/>
        <v>0</v>
      </c>
      <c r="L59" s="36"/>
      <c r="N59" s="28"/>
      <c r="P59" s="72"/>
    </row>
    <row r="60" spans="1:16" ht="12.75" customHeight="1" x14ac:dyDescent="0.2">
      <c r="A60" s="37">
        <f t="shared" si="5"/>
        <v>7</v>
      </c>
      <c r="B60" s="37">
        <f t="shared" si="6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7"/>
        <v>3200</v>
      </c>
      <c r="N60" s="28"/>
      <c r="P60" s="72"/>
    </row>
    <row r="61" spans="1:16" ht="12.75" customHeight="1" x14ac:dyDescent="0.2">
      <c r="A61" s="37">
        <f t="shared" si="5"/>
        <v>7</v>
      </c>
      <c r="B61" s="37">
        <f t="shared" si="6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7"/>
        <v>1200</v>
      </c>
      <c r="N61" s="28"/>
      <c r="P61" s="72"/>
    </row>
    <row r="62" spans="1:16" ht="12.75" customHeight="1" x14ac:dyDescent="0.2">
      <c r="A62" s="37">
        <f t="shared" si="5"/>
        <v>7</v>
      </c>
      <c r="B62" s="37">
        <f t="shared" si="6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7"/>
        <v>0</v>
      </c>
      <c r="I62" s="36"/>
      <c r="N62" s="28"/>
      <c r="P62" s="72"/>
    </row>
    <row r="63" spans="1:16" ht="12.75" customHeight="1" x14ac:dyDescent="0.2">
      <c r="A63" s="37">
        <f t="shared" si="5"/>
        <v>8</v>
      </c>
      <c r="B63" s="37">
        <f t="shared" si="6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7"/>
        <v>3200</v>
      </c>
      <c r="N63" s="28"/>
      <c r="P63" s="72"/>
    </row>
    <row r="64" spans="1:16" ht="12.75" customHeight="1" x14ac:dyDescent="0.2">
      <c r="A64" s="37">
        <f t="shared" si="5"/>
        <v>8</v>
      </c>
      <c r="B64" s="37">
        <f t="shared" si="6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7"/>
        <v>3000</v>
      </c>
      <c r="J64" s="29"/>
      <c r="K64" s="30"/>
      <c r="N64" s="28"/>
      <c r="P64" s="72"/>
    </row>
    <row r="65" spans="1:16" ht="12.75" customHeight="1" x14ac:dyDescent="0.2">
      <c r="A65" s="37">
        <f t="shared" si="5"/>
        <v>8</v>
      </c>
      <c r="B65" s="37">
        <f t="shared" si="6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7"/>
        <v>1000</v>
      </c>
      <c r="I65" s="36"/>
      <c r="J65" s="30"/>
      <c r="K65" s="29"/>
      <c r="M65" s="36"/>
      <c r="N65" s="28"/>
      <c r="P65" s="72"/>
    </row>
    <row r="66" spans="1:16" ht="12.75" customHeight="1" x14ac:dyDescent="0.2">
      <c r="A66" s="37">
        <f t="shared" si="5"/>
        <v>9</v>
      </c>
      <c r="B66" s="37">
        <f t="shared" si="6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7"/>
        <v>4200</v>
      </c>
      <c r="N66" s="28"/>
      <c r="P66" s="72"/>
    </row>
    <row r="67" spans="1:16" ht="12.75" customHeight="1" x14ac:dyDescent="0.2">
      <c r="A67" s="37">
        <f t="shared" si="5"/>
        <v>9</v>
      </c>
      <c r="B67" s="37">
        <f t="shared" si="6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7"/>
        <v>2700</v>
      </c>
      <c r="M67" s="36"/>
      <c r="N67" s="28"/>
      <c r="O67" s="72"/>
      <c r="P67" s="72"/>
    </row>
    <row r="68" spans="1:16" ht="12.75" customHeight="1" x14ac:dyDescent="0.2">
      <c r="A68" s="37">
        <f t="shared" si="5"/>
        <v>9</v>
      </c>
      <c r="B68" s="37">
        <f t="shared" si="6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7"/>
        <v>2000</v>
      </c>
      <c r="I68" s="36"/>
      <c r="J68" s="30"/>
      <c r="N68" s="28"/>
      <c r="P68" s="72"/>
    </row>
    <row r="69" spans="1:16" ht="12.75" customHeight="1" x14ac:dyDescent="0.2">
      <c r="A69" s="37">
        <f t="shared" si="5"/>
        <v>10</v>
      </c>
      <c r="B69" s="37">
        <f t="shared" si="6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7"/>
        <v>5200</v>
      </c>
      <c r="N69" s="28"/>
      <c r="P69" s="72"/>
    </row>
    <row r="70" spans="1:16" ht="12.75" customHeight="1" x14ac:dyDescent="0.2">
      <c r="A70" s="37">
        <f t="shared" si="5"/>
        <v>10</v>
      </c>
      <c r="B70" s="37">
        <f t="shared" si="6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7"/>
        <v>3200</v>
      </c>
      <c r="N70" s="28"/>
      <c r="P70" s="72"/>
    </row>
    <row r="71" spans="1:16" ht="12.75" customHeight="1" x14ac:dyDescent="0.2">
      <c r="A71" s="37">
        <f t="shared" si="5"/>
        <v>10</v>
      </c>
      <c r="B71" s="37">
        <f t="shared" si="6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7"/>
        <v>3000</v>
      </c>
      <c r="I71" s="36"/>
      <c r="J71" s="30"/>
      <c r="K71" s="30"/>
      <c r="N71" s="28"/>
      <c r="P71" s="72"/>
    </row>
    <row r="72" spans="1:16" ht="12.75" customHeight="1" x14ac:dyDescent="0.2">
      <c r="A72" s="37">
        <f t="shared" si="5"/>
        <v>11</v>
      </c>
      <c r="B72" s="37">
        <f t="shared" si="6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7"/>
        <v>6200</v>
      </c>
      <c r="K72" s="36"/>
      <c r="N72" s="28"/>
      <c r="P72" s="72"/>
    </row>
    <row r="73" spans="1:16" ht="12.75" customHeight="1" x14ac:dyDescent="0.2">
      <c r="A73" s="37">
        <f t="shared" si="5"/>
        <v>11</v>
      </c>
      <c r="B73" s="37">
        <f t="shared" si="6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7"/>
        <v>4200</v>
      </c>
      <c r="N73" s="28"/>
      <c r="P73" s="72"/>
    </row>
    <row r="74" spans="1:16" ht="12.75" customHeight="1" x14ac:dyDescent="0.2">
      <c r="A74" s="37">
        <f t="shared" si="5"/>
        <v>11</v>
      </c>
      <c r="B74" s="37">
        <f t="shared" si="6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7"/>
        <v>2500</v>
      </c>
      <c r="I74" s="36"/>
      <c r="J74" s="30"/>
      <c r="N74" s="28"/>
      <c r="P74" s="72"/>
    </row>
    <row r="75" spans="1:16" ht="12.75" customHeight="1" x14ac:dyDescent="0.2">
      <c r="A75" s="37">
        <f t="shared" si="5"/>
        <v>12</v>
      </c>
      <c r="B75" s="37">
        <f t="shared" si="6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7"/>
        <v>5700</v>
      </c>
      <c r="L75" s="36"/>
      <c r="N75" s="28"/>
      <c r="P75" s="72"/>
    </row>
    <row r="76" spans="1:16" ht="12.75" customHeight="1" x14ac:dyDescent="0.2">
      <c r="A76" s="37">
        <f t="shared" si="5"/>
        <v>12</v>
      </c>
      <c r="B76" s="37">
        <f t="shared" si="6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7"/>
        <v>3700</v>
      </c>
      <c r="N76" s="28"/>
      <c r="P76" s="72"/>
    </row>
    <row r="77" spans="1:16" ht="12.75" customHeight="1" x14ac:dyDescent="0.2">
      <c r="A77" s="37">
        <f t="shared" si="5"/>
        <v>12</v>
      </c>
      <c r="B77" s="37">
        <f t="shared" si="6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7"/>
        <v>2000</v>
      </c>
      <c r="I77" s="36"/>
      <c r="J77" s="30"/>
      <c r="N77" s="28"/>
      <c r="P77" s="72"/>
    </row>
    <row r="78" spans="1:16" ht="12.75" customHeight="1" x14ac:dyDescent="0.2">
      <c r="A78" s="37">
        <f t="shared" si="5"/>
        <v>1</v>
      </c>
      <c r="B78" s="37">
        <f t="shared" si="6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7"/>
        <v>5200</v>
      </c>
      <c r="N78" s="28"/>
      <c r="P78" s="72"/>
    </row>
    <row r="79" spans="1:16" ht="12.75" customHeight="1" x14ac:dyDescent="0.2">
      <c r="A79" s="37">
        <f t="shared" si="5"/>
        <v>1</v>
      </c>
      <c r="B79" s="37">
        <f t="shared" si="6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7"/>
        <v>3200</v>
      </c>
      <c r="N79" s="28"/>
      <c r="P79" s="72"/>
    </row>
    <row r="80" spans="1:16" ht="12.75" customHeight="1" x14ac:dyDescent="0.2">
      <c r="A80" s="37">
        <f t="shared" si="5"/>
        <v>1</v>
      </c>
      <c r="B80" s="37">
        <f t="shared" si="6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7"/>
        <v>1500</v>
      </c>
      <c r="I80" s="36"/>
      <c r="J80" s="30"/>
      <c r="N80" s="28"/>
      <c r="P80" s="72"/>
    </row>
    <row r="81" spans="1:16" ht="12.75" customHeight="1" x14ac:dyDescent="0.2">
      <c r="A81" s="37">
        <f t="shared" si="5"/>
        <v>2</v>
      </c>
      <c r="B81" s="37">
        <f t="shared" si="6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7"/>
        <v>4700</v>
      </c>
      <c r="N81" s="28"/>
      <c r="P81" s="72"/>
    </row>
    <row r="82" spans="1:16" ht="12.75" customHeight="1" x14ac:dyDescent="0.2">
      <c r="A82" s="37">
        <f t="shared" si="5"/>
        <v>2</v>
      </c>
      <c r="B82" s="37">
        <f t="shared" si="6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7"/>
        <v>2700</v>
      </c>
      <c r="N82" s="72"/>
      <c r="P82" s="72"/>
    </row>
    <row r="83" spans="1:16" ht="12.75" customHeight="1" x14ac:dyDescent="0.2">
      <c r="A83" s="37">
        <f t="shared" si="5"/>
        <v>2</v>
      </c>
      <c r="B83" s="37">
        <f t="shared" si="6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7"/>
        <v>1000</v>
      </c>
      <c r="I83" s="36"/>
      <c r="J83" s="30"/>
      <c r="N83" s="72"/>
    </row>
    <row r="84" spans="1:16" ht="12.75" customHeight="1" x14ac:dyDescent="0.2">
      <c r="A84" s="37">
        <f t="shared" si="5"/>
        <v>3</v>
      </c>
      <c r="B84" s="37">
        <f t="shared" si="6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7"/>
        <v>4100</v>
      </c>
      <c r="K84" s="29"/>
      <c r="N84" s="72"/>
    </row>
    <row r="85" spans="1:16" ht="12.75" customHeight="1" x14ac:dyDescent="0.2">
      <c r="A85" s="37">
        <f t="shared" si="5"/>
        <v>3</v>
      </c>
      <c r="B85" s="37">
        <f t="shared" si="6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7"/>
        <v>2900</v>
      </c>
      <c r="J85" s="30"/>
      <c r="K85" s="30"/>
      <c r="N85" s="72"/>
    </row>
    <row r="86" spans="1:16" ht="12.75" customHeight="1" x14ac:dyDescent="0.2">
      <c r="A86" s="37">
        <f t="shared" si="5"/>
        <v>4</v>
      </c>
      <c r="B86" s="37">
        <f t="shared" si="6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7"/>
        <v>6000</v>
      </c>
      <c r="N86" s="72"/>
    </row>
    <row r="87" spans="1:16" ht="12.75" customHeight="1" x14ac:dyDescent="0.2">
      <c r="A87" s="37">
        <f t="shared" si="5"/>
        <v>4</v>
      </c>
      <c r="B87" s="37">
        <f t="shared" si="6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7"/>
        <v>4000</v>
      </c>
      <c r="N87" s="72"/>
    </row>
    <row r="88" spans="1:16" ht="12.75" customHeight="1" x14ac:dyDescent="0.2">
      <c r="A88" s="37">
        <f t="shared" si="5"/>
        <v>4</v>
      </c>
      <c r="B88" s="37">
        <f t="shared" si="6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7"/>
        <v>2200</v>
      </c>
      <c r="I88" s="36"/>
      <c r="J88" s="30"/>
      <c r="K88" s="29"/>
      <c r="N88" s="72"/>
    </row>
    <row r="89" spans="1:16" ht="12.75" customHeight="1" x14ac:dyDescent="0.2">
      <c r="A89" s="37">
        <f t="shared" si="5"/>
        <v>4</v>
      </c>
      <c r="B89" s="37">
        <f t="shared" si="6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7"/>
        <v>1200</v>
      </c>
      <c r="I89" s="36"/>
      <c r="N89" s="72"/>
    </row>
    <row r="90" spans="1:16" ht="12.75" customHeight="1" x14ac:dyDescent="0.2">
      <c r="A90" s="37">
        <f t="shared" si="5"/>
        <v>5</v>
      </c>
      <c r="B90" s="37">
        <f t="shared" si="6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7"/>
        <v>4300</v>
      </c>
      <c r="N90" s="72"/>
    </row>
    <row r="91" spans="1:16" ht="12.75" customHeight="1" x14ac:dyDescent="0.2">
      <c r="A91" s="37">
        <f t="shared" si="5"/>
        <v>5</v>
      </c>
      <c r="B91" s="37">
        <f t="shared" si="6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7"/>
        <v>2300</v>
      </c>
      <c r="N91" s="72"/>
    </row>
    <row r="92" spans="1:16" ht="12.75" customHeight="1" x14ac:dyDescent="0.2">
      <c r="A92" s="37">
        <f t="shared" si="5"/>
        <v>5</v>
      </c>
      <c r="B92" s="37">
        <f t="shared" si="6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7"/>
        <v>1200</v>
      </c>
      <c r="I92" s="36"/>
      <c r="N92" s="72"/>
    </row>
    <row r="93" spans="1:16" ht="12.75" customHeight="1" x14ac:dyDescent="0.2">
      <c r="A93" s="37">
        <f t="shared" si="5"/>
        <v>6</v>
      </c>
      <c r="B93" s="37">
        <f t="shared" si="6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7"/>
        <v>4300</v>
      </c>
      <c r="N93" s="72"/>
    </row>
    <row r="94" spans="1:16" ht="12.75" customHeight="1" x14ac:dyDescent="0.2">
      <c r="A94" s="37">
        <f t="shared" si="5"/>
        <v>6</v>
      </c>
      <c r="B94" s="37">
        <f t="shared" si="6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7"/>
        <v>2300</v>
      </c>
      <c r="N94" s="72"/>
    </row>
    <row r="95" spans="1:16" ht="12.75" customHeight="1" x14ac:dyDescent="0.2">
      <c r="A95" s="37">
        <f t="shared" si="5"/>
        <v>6</v>
      </c>
      <c r="B95" s="37">
        <f t="shared" si="6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7"/>
        <v>1200</v>
      </c>
      <c r="I95" s="36"/>
    </row>
    <row r="96" spans="1:16" ht="12.75" customHeight="1" x14ac:dyDescent="0.2">
      <c r="A96" s="37">
        <f t="shared" si="5"/>
        <v>7</v>
      </c>
      <c r="B96" s="37">
        <f t="shared" si="6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7"/>
        <v>4300</v>
      </c>
    </row>
    <row r="97" spans="1:9" ht="12.75" customHeight="1" x14ac:dyDescent="0.2">
      <c r="A97" s="37">
        <f t="shared" si="5"/>
        <v>7</v>
      </c>
      <c r="B97" s="37">
        <f t="shared" si="6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7"/>
        <v>2300</v>
      </c>
    </row>
    <row r="98" spans="1:9" ht="12.75" customHeight="1" x14ac:dyDescent="0.2">
      <c r="A98" s="37">
        <f t="shared" si="5"/>
        <v>7</v>
      </c>
      <c r="B98" s="37">
        <f t="shared" si="6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7"/>
        <v>1200</v>
      </c>
      <c r="I98" s="36"/>
    </row>
    <row r="99" spans="1:9" ht="12.75" customHeight="1" x14ac:dyDescent="0.2">
      <c r="A99" s="37">
        <f t="shared" si="5"/>
        <v>8</v>
      </c>
      <c r="B99" s="37">
        <f t="shared" si="6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7"/>
        <v>4300</v>
      </c>
    </row>
    <row r="100" spans="1:9" ht="12.75" customHeight="1" x14ac:dyDescent="0.2">
      <c r="A100" s="37">
        <f t="shared" si="5"/>
        <v>8</v>
      </c>
      <c r="B100" s="37">
        <f t="shared" si="6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7"/>
        <v>2300</v>
      </c>
    </row>
    <row r="101" spans="1:9" ht="12.75" customHeight="1" x14ac:dyDescent="0.2">
      <c r="A101" s="37">
        <f t="shared" si="5"/>
        <v>8</v>
      </c>
      <c r="B101" s="37">
        <f t="shared" si="6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7"/>
        <v>1200</v>
      </c>
      <c r="I101" s="36"/>
    </row>
    <row r="102" spans="1:9" ht="12.75" customHeight="1" x14ac:dyDescent="0.2">
      <c r="A102" s="37">
        <f t="shared" si="5"/>
        <v>9</v>
      </c>
      <c r="B102" s="37">
        <f t="shared" si="6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7"/>
        <v>4300</v>
      </c>
    </row>
    <row r="103" spans="1:9" ht="12.75" customHeight="1" x14ac:dyDescent="0.2">
      <c r="A103" s="37">
        <f t="shared" si="5"/>
        <v>9</v>
      </c>
      <c r="B103" s="37">
        <f t="shared" si="6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7"/>
        <v>2300</v>
      </c>
    </row>
    <row r="104" spans="1:9" ht="12.75" customHeight="1" x14ac:dyDescent="0.2">
      <c r="A104" s="37">
        <f t="shared" si="5"/>
        <v>9</v>
      </c>
      <c r="B104" s="37">
        <f t="shared" si="6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7"/>
        <v>1200</v>
      </c>
      <c r="I104" s="36"/>
    </row>
    <row r="105" spans="1:9" ht="12.75" customHeight="1" x14ac:dyDescent="0.2">
      <c r="A105" s="37">
        <f t="shared" si="5"/>
        <v>10</v>
      </c>
      <c r="B105" s="37">
        <f t="shared" si="6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7"/>
        <v>4300</v>
      </c>
    </row>
    <row r="106" spans="1:9" ht="12.75" customHeight="1" x14ac:dyDescent="0.2">
      <c r="A106" s="37"/>
      <c r="B106" s="37"/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7"/>
        <v>4350</v>
      </c>
    </row>
    <row r="107" spans="1:9" ht="12.75" customHeight="1" x14ac:dyDescent="0.2">
      <c r="A107" s="37">
        <f t="shared" ref="A107:A133" si="8">MONTH(D107)</f>
        <v>11</v>
      </c>
      <c r="B107" s="37">
        <f t="shared" ref="B107:B133" si="9">YEAR(D107)</f>
        <v>2021</v>
      </c>
      <c r="C107" s="37" t="str">
        <f t="shared" ref="C107:C133" si="10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7"/>
        <v>7450</v>
      </c>
    </row>
    <row r="108" spans="1:9" ht="12.75" customHeight="1" x14ac:dyDescent="0.2">
      <c r="A108" s="37">
        <f t="shared" si="8"/>
        <v>11</v>
      </c>
      <c r="B108" s="37">
        <f t="shared" si="9"/>
        <v>2021</v>
      </c>
      <c r="C108" s="37" t="str">
        <f t="shared" si="10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7"/>
        <v>5450</v>
      </c>
    </row>
    <row r="109" spans="1:9" ht="12.75" customHeight="1" x14ac:dyDescent="0.2">
      <c r="A109" s="37">
        <f t="shared" si="8"/>
        <v>11</v>
      </c>
      <c r="B109" s="37">
        <f t="shared" si="9"/>
        <v>2021</v>
      </c>
      <c r="C109" s="37" t="str">
        <f t="shared" si="10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7"/>
        <v>4350</v>
      </c>
      <c r="I109" s="36"/>
    </row>
    <row r="110" spans="1:9" ht="12.75" customHeight="1" x14ac:dyDescent="0.2">
      <c r="A110" s="37">
        <f t="shared" si="8"/>
        <v>12</v>
      </c>
      <c r="B110" s="37">
        <f t="shared" si="9"/>
        <v>2021</v>
      </c>
      <c r="C110" s="37" t="str">
        <f t="shared" si="10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7"/>
        <v>7450</v>
      </c>
    </row>
    <row r="111" spans="1:9" ht="12.75" customHeight="1" x14ac:dyDescent="0.2">
      <c r="A111" s="37">
        <f t="shared" si="8"/>
        <v>12</v>
      </c>
      <c r="B111" s="37">
        <f t="shared" si="9"/>
        <v>2021</v>
      </c>
      <c r="C111" s="37" t="str">
        <f t="shared" si="10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7"/>
        <v>5450</v>
      </c>
    </row>
    <row r="112" spans="1:9" ht="12.75" customHeight="1" x14ac:dyDescent="0.2">
      <c r="A112" s="37">
        <f t="shared" si="8"/>
        <v>12</v>
      </c>
      <c r="B112" s="37">
        <f t="shared" si="9"/>
        <v>2021</v>
      </c>
      <c r="C112" s="37" t="str">
        <f t="shared" si="10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7"/>
        <v>4350</v>
      </c>
      <c r="I112" s="36"/>
    </row>
    <row r="113" spans="1:9" ht="12.75" customHeight="1" x14ac:dyDescent="0.2">
      <c r="A113" s="37">
        <f t="shared" si="8"/>
        <v>12</v>
      </c>
      <c r="B113" s="37">
        <f t="shared" si="9"/>
        <v>2021</v>
      </c>
      <c r="C113" s="37" t="str">
        <f t="shared" si="10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7"/>
        <v>2350</v>
      </c>
    </row>
    <row r="114" spans="1:9" ht="12.75" customHeight="1" x14ac:dyDescent="0.2">
      <c r="A114" s="37">
        <f t="shared" si="8"/>
        <v>12</v>
      </c>
      <c r="B114" s="37">
        <f t="shared" si="9"/>
        <v>2021</v>
      </c>
      <c r="C114" s="37" t="str">
        <f t="shared" si="10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7"/>
        <v>2300</v>
      </c>
    </row>
    <row r="115" spans="1:9" ht="12.75" customHeight="1" x14ac:dyDescent="0.2">
      <c r="A115" s="37">
        <f t="shared" si="8"/>
        <v>12</v>
      </c>
      <c r="B115" s="37">
        <f t="shared" si="9"/>
        <v>2021</v>
      </c>
      <c r="C115" s="37" t="str">
        <f t="shared" si="10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7"/>
        <v>1200</v>
      </c>
      <c r="I115" s="30"/>
    </row>
    <row r="116" spans="1:9" ht="12.75" customHeight="1" x14ac:dyDescent="0.2">
      <c r="A116" s="37">
        <f t="shared" si="8"/>
        <v>12</v>
      </c>
      <c r="B116" s="37">
        <f t="shared" si="9"/>
        <v>2021</v>
      </c>
      <c r="C116" s="37" t="str">
        <f t="shared" si="10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7"/>
        <v>0</v>
      </c>
    </row>
    <row r="117" spans="1:9" ht="12.75" customHeight="1" x14ac:dyDescent="0.2">
      <c r="A117" s="37">
        <f t="shared" si="8"/>
        <v>1</v>
      </c>
      <c r="B117" s="37">
        <f t="shared" si="9"/>
        <v>2022</v>
      </c>
      <c r="C117" s="37" t="str">
        <f t="shared" si="10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7"/>
        <v>3100</v>
      </c>
    </row>
    <row r="118" spans="1:9" ht="12.75" customHeight="1" x14ac:dyDescent="0.2">
      <c r="A118" s="37">
        <f t="shared" si="8"/>
        <v>1</v>
      </c>
      <c r="B118" s="37">
        <f t="shared" si="9"/>
        <v>2022</v>
      </c>
      <c r="C118" s="37" t="str">
        <f t="shared" si="10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7"/>
        <v>1100</v>
      </c>
    </row>
    <row r="119" spans="1:9" ht="12.75" customHeight="1" x14ac:dyDescent="0.2">
      <c r="A119" s="37">
        <f t="shared" si="8"/>
        <v>1</v>
      </c>
      <c r="B119" s="37">
        <f t="shared" si="9"/>
        <v>2022</v>
      </c>
      <c r="C119" s="37" t="str">
        <f t="shared" si="10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7"/>
        <v>0</v>
      </c>
    </row>
    <row r="120" spans="1:9" ht="12.75" customHeight="1" x14ac:dyDescent="0.2">
      <c r="A120" s="37">
        <f t="shared" si="8"/>
        <v>2</v>
      </c>
      <c r="B120" s="37">
        <f t="shared" si="9"/>
        <v>2022</v>
      </c>
      <c r="C120" s="37" t="str">
        <f t="shared" si="10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7"/>
        <v>3100</v>
      </c>
    </row>
    <row r="121" spans="1:9" ht="12.75" customHeight="1" x14ac:dyDescent="0.2">
      <c r="A121" s="37">
        <f t="shared" si="8"/>
        <v>2</v>
      </c>
      <c r="B121" s="37">
        <f t="shared" si="9"/>
        <v>2022</v>
      </c>
      <c r="C121" s="37" t="str">
        <f t="shared" si="10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7"/>
        <v>1100</v>
      </c>
    </row>
    <row r="122" spans="1:9" ht="12.75" customHeight="1" x14ac:dyDescent="0.2">
      <c r="A122" s="37">
        <f t="shared" si="8"/>
        <v>2</v>
      </c>
      <c r="B122" s="37">
        <f t="shared" si="9"/>
        <v>2022</v>
      </c>
      <c r="C122" s="37" t="str">
        <f t="shared" si="10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7"/>
        <v>0</v>
      </c>
    </row>
    <row r="123" spans="1:9" ht="12.75" customHeight="1" x14ac:dyDescent="0.2">
      <c r="A123" s="37">
        <f t="shared" si="8"/>
        <v>3</v>
      </c>
      <c r="B123" s="37">
        <f t="shared" si="9"/>
        <v>2022</v>
      </c>
      <c r="C123" s="37" t="str">
        <f t="shared" si="10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7"/>
        <v>3200</v>
      </c>
      <c r="I123" s="30"/>
    </row>
    <row r="124" spans="1:9" ht="12.75" customHeight="1" x14ac:dyDescent="0.2">
      <c r="A124" s="37">
        <f t="shared" si="8"/>
        <v>3</v>
      </c>
      <c r="B124" s="37">
        <f t="shared" si="9"/>
        <v>2022</v>
      </c>
      <c r="C124" s="37" t="str">
        <f t="shared" si="10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7"/>
        <v>1200</v>
      </c>
    </row>
    <row r="125" spans="1:9" ht="12.75" customHeight="1" x14ac:dyDescent="0.2">
      <c r="A125" s="37">
        <f t="shared" si="8"/>
        <v>3</v>
      </c>
      <c r="B125" s="37">
        <f t="shared" si="9"/>
        <v>2022</v>
      </c>
      <c r="C125" s="37" t="str">
        <f t="shared" si="10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7"/>
        <v>0</v>
      </c>
    </row>
    <row r="126" spans="1:9" ht="12.75" customHeight="1" x14ac:dyDescent="0.2">
      <c r="A126" s="37">
        <f t="shared" si="8"/>
        <v>4</v>
      </c>
      <c r="B126" s="37">
        <f t="shared" si="9"/>
        <v>2022</v>
      </c>
      <c r="C126" s="37" t="str">
        <f t="shared" si="10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7"/>
        <v>3200</v>
      </c>
    </row>
    <row r="127" spans="1:9" ht="12.75" customHeight="1" x14ac:dyDescent="0.2">
      <c r="A127" s="37">
        <f t="shared" si="8"/>
        <v>4</v>
      </c>
      <c r="B127" s="37">
        <f t="shared" si="9"/>
        <v>2022</v>
      </c>
      <c r="C127" s="37" t="str">
        <f t="shared" si="10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7"/>
        <v>1200</v>
      </c>
    </row>
    <row r="128" spans="1:9" ht="12.75" customHeight="1" x14ac:dyDescent="0.2">
      <c r="A128" s="37">
        <f t="shared" si="8"/>
        <v>4</v>
      </c>
      <c r="B128" s="37">
        <f t="shared" si="9"/>
        <v>2022</v>
      </c>
      <c r="C128" s="37" t="str">
        <f t="shared" si="10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7"/>
        <v>0</v>
      </c>
    </row>
    <row r="129" spans="1:9" ht="12.75" customHeight="1" x14ac:dyDescent="0.2">
      <c r="A129" s="37">
        <f t="shared" si="8"/>
        <v>5</v>
      </c>
      <c r="B129" s="37">
        <f t="shared" si="9"/>
        <v>2022</v>
      </c>
      <c r="C129" s="37" t="str">
        <f t="shared" si="10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7"/>
        <v>3200</v>
      </c>
    </row>
    <row r="130" spans="1:9" ht="12.75" customHeight="1" x14ac:dyDescent="0.2">
      <c r="A130" s="37">
        <f t="shared" si="8"/>
        <v>5</v>
      </c>
      <c r="B130" s="37">
        <f t="shared" si="9"/>
        <v>2022</v>
      </c>
      <c r="C130" s="37" t="str">
        <f t="shared" si="10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7"/>
        <v>1200</v>
      </c>
    </row>
    <row r="131" spans="1:9" ht="12.75" customHeight="1" x14ac:dyDescent="0.2">
      <c r="A131" s="37">
        <f t="shared" si="8"/>
        <v>5</v>
      </c>
      <c r="B131" s="37">
        <f t="shared" si="9"/>
        <v>2022</v>
      </c>
      <c r="C131" s="37" t="str">
        <f t="shared" si="10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7"/>
        <v>0</v>
      </c>
    </row>
    <row r="132" spans="1:9" ht="12.75" customHeight="1" x14ac:dyDescent="0.2">
      <c r="A132" s="37">
        <f t="shared" si="8"/>
        <v>6</v>
      </c>
      <c r="B132" s="37">
        <f t="shared" si="9"/>
        <v>2022</v>
      </c>
      <c r="C132" s="37" t="str">
        <f t="shared" si="10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7"/>
        <v>3200</v>
      </c>
    </row>
    <row r="133" spans="1:9" ht="12.75" customHeight="1" x14ac:dyDescent="0.2">
      <c r="A133" s="37">
        <f t="shared" si="8"/>
        <v>6</v>
      </c>
      <c r="B133" s="37">
        <f t="shared" si="9"/>
        <v>2022</v>
      </c>
      <c r="C133" s="37" t="str">
        <f t="shared" si="10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7"/>
        <v>0</v>
      </c>
      <c r="I133" s="30"/>
    </row>
    <row r="134" spans="1:9" ht="12.75" customHeight="1" x14ac:dyDescent="0.2">
      <c r="A134" s="37">
        <f t="shared" ref="A134:A135" si="11">MONTH(D134)</f>
        <v>7</v>
      </c>
      <c r="B134" s="37">
        <f t="shared" ref="B134:B135" si="12">YEAR(D134)</f>
        <v>2022</v>
      </c>
      <c r="C134" s="37" t="str">
        <f t="shared" ref="C134:C135" si="13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35" si="14">H133+G134-F134</f>
        <v>3200</v>
      </c>
    </row>
    <row r="135" spans="1:9" ht="12.75" customHeight="1" x14ac:dyDescent="0.2">
      <c r="A135" s="37">
        <f t="shared" si="11"/>
        <v>7</v>
      </c>
      <c r="B135" s="37">
        <f t="shared" si="12"/>
        <v>2022</v>
      </c>
      <c r="C135" s="37" t="str">
        <f t="shared" si="13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4"/>
        <v>1200</v>
      </c>
      <c r="I135" s="30"/>
    </row>
    <row r="136" spans="1:9" ht="12.75" customHeight="1" x14ac:dyDescent="0.2">
      <c r="A136" s="37">
        <f t="shared" ref="A136:A138" si="15">MONTH(D136)</f>
        <v>7</v>
      </c>
      <c r="B136" s="37">
        <f t="shared" ref="B136:B138" si="16">YEAR(D136)</f>
        <v>2022</v>
      </c>
      <c r="C136" s="37" t="str">
        <f t="shared" ref="C136:C138" si="17">IFERROR("Rent: "&amp;FIND("Rent",E136),IFERROR("Priv Tax: "&amp;FIND("Tax",E136), IFERROR("Income: "&amp;FIND("Payment",E136,1),"")))</f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ref="H136:H138" si="18">H135+G136-F136</f>
        <v>0</v>
      </c>
      <c r="I136" s="30"/>
    </row>
    <row r="137" spans="1:9" ht="12.75" customHeight="1" x14ac:dyDescent="0.2">
      <c r="A137" s="37">
        <f t="shared" si="15"/>
        <v>8</v>
      </c>
      <c r="B137" s="37">
        <f t="shared" si="16"/>
        <v>2022</v>
      </c>
      <c r="C137" s="37" t="str">
        <f t="shared" si="17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8"/>
        <v>3200</v>
      </c>
    </row>
    <row r="138" spans="1:9" ht="12.75" customHeight="1" x14ac:dyDescent="0.2">
      <c r="A138" s="37">
        <f t="shared" si="15"/>
        <v>8</v>
      </c>
      <c r="B138" s="37">
        <f t="shared" si="16"/>
        <v>2022</v>
      </c>
      <c r="C138" s="37" t="str">
        <f t="shared" si="17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8"/>
        <v>0</v>
      </c>
      <c r="I138" s="30"/>
    </row>
    <row r="139" spans="1:9" ht="12.75" customHeight="1" x14ac:dyDescent="0.2">
      <c r="A139" s="37">
        <f t="shared" ref="A139:A140" si="19">MONTH(D139)</f>
        <v>9</v>
      </c>
      <c r="B139" s="37">
        <f t="shared" ref="B139:B140" si="20">YEAR(D139)</f>
        <v>2022</v>
      </c>
      <c r="C139" s="37" t="str">
        <f t="shared" ref="C139:C140" si="21">IFERROR("Rent: "&amp;FIND("Rent",E139),IFERROR("Priv Tax: "&amp;FIND("Tax",E139), IFERROR("Income: "&amp;FIND("Payment",E139,1),"")))</f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ref="H139:H140" si="22">H138+G139-F139</f>
        <v>3200</v>
      </c>
    </row>
    <row r="140" spans="1:9" ht="12.75" customHeight="1" x14ac:dyDescent="0.2">
      <c r="A140" s="37">
        <f t="shared" si="19"/>
        <v>9</v>
      </c>
      <c r="B140" s="37">
        <f t="shared" si="20"/>
        <v>2022</v>
      </c>
      <c r="C140" s="37" t="str">
        <f t="shared" si="21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22"/>
        <v>1200</v>
      </c>
      <c r="I140" s="30"/>
    </row>
    <row r="141" spans="1:9" ht="12.75" customHeight="1" x14ac:dyDescent="0.2">
      <c r="A141" s="37">
        <f t="shared" ref="A141:A143" si="23">MONTH(D141)</f>
        <v>9</v>
      </c>
      <c r="B141" s="37">
        <f t="shared" ref="B141:B143" si="24">YEAR(D141)</f>
        <v>2022</v>
      </c>
      <c r="C141" s="37" t="str">
        <f t="shared" ref="C141:C143" si="25">IFERROR("Rent: "&amp;FIND("Rent",E141),IFERROR("Priv Tax: "&amp;FIND("Tax",E141), IFERROR("Income: "&amp;FIND("Payment",E141,1),"")))</f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ref="H141:H143" si="26">H140+G141-F141</f>
        <v>0</v>
      </c>
      <c r="I141" s="30"/>
    </row>
    <row r="142" spans="1:9" ht="12.75" customHeight="1" x14ac:dyDescent="0.2">
      <c r="A142" s="37">
        <f t="shared" si="23"/>
        <v>10</v>
      </c>
      <c r="B142" s="37">
        <f t="shared" si="24"/>
        <v>2022</v>
      </c>
      <c r="C142" s="37" t="str">
        <f t="shared" si="25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26"/>
        <v>3200</v>
      </c>
    </row>
    <row r="143" spans="1:9" ht="12.75" customHeight="1" x14ac:dyDescent="0.2">
      <c r="A143" s="37">
        <f t="shared" si="23"/>
        <v>10</v>
      </c>
      <c r="B143" s="37">
        <f t="shared" si="24"/>
        <v>2022</v>
      </c>
      <c r="C143" s="37" t="str">
        <f t="shared" si="25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26"/>
        <v>1200</v>
      </c>
      <c r="I143" s="30"/>
    </row>
    <row r="144" spans="1:9" ht="12.75" customHeight="1" x14ac:dyDescent="0.2">
      <c r="A144" s="37">
        <f t="shared" ref="A144:A147" si="27">MONTH(D144)</f>
        <v>10</v>
      </c>
      <c r="B144" s="37">
        <f t="shared" ref="B144:B147" si="28">YEAR(D144)</f>
        <v>2022</v>
      </c>
      <c r="C144" s="37" t="str">
        <f t="shared" ref="C144:C147" si="29">IFERROR("Rent: "&amp;FIND("Rent",E144),IFERROR("Priv Tax: "&amp;FIND("Tax",E144), IFERROR("Income: "&amp;FIND("Payment",E144,1),"")))</f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ref="H144:H148" si="30">H143+G144-F144</f>
        <v>38.170000000000073</v>
      </c>
      <c r="I144" s="30"/>
    </row>
    <row r="145" spans="1:9" ht="12.75" customHeight="1" x14ac:dyDescent="0.2">
      <c r="A145" s="37">
        <f t="shared" ref="A145" si="31">MONTH(D145)</f>
        <v>10</v>
      </c>
      <c r="B145" s="37">
        <f t="shared" ref="B145" si="32">YEAR(D145)</f>
        <v>2022</v>
      </c>
      <c r="C145" s="37" t="str">
        <f t="shared" ref="C145" si="33">IFERROR("Rent: "&amp;FIND("Rent",E145),IFERROR("Priv Tax: "&amp;FIND("Tax",E145), IFERROR("Income: "&amp;FIND("Payment",E145,1),"")))</f>
        <v/>
      </c>
      <c r="D145" s="28">
        <v>44839</v>
      </c>
      <c r="E145" s="29" t="s">
        <v>122</v>
      </c>
      <c r="F145" s="36">
        <v>38.17</v>
      </c>
      <c r="G145" s="36"/>
      <c r="H145" s="38">
        <f t="shared" si="30"/>
        <v>7.1054273576010019E-14</v>
      </c>
      <c r="I145" s="30"/>
    </row>
    <row r="146" spans="1:9" ht="12.75" customHeight="1" x14ac:dyDescent="0.2">
      <c r="A146" s="37">
        <f t="shared" si="27"/>
        <v>11</v>
      </c>
      <c r="B146" s="37">
        <f t="shared" si="28"/>
        <v>2022</v>
      </c>
      <c r="C146" s="37" t="str">
        <f t="shared" si="29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30"/>
        <v>3200</v>
      </c>
    </row>
    <row r="147" spans="1:9" ht="12.75" customHeight="1" x14ac:dyDescent="0.2">
      <c r="A147" s="37">
        <f t="shared" si="27"/>
        <v>11</v>
      </c>
      <c r="B147" s="37">
        <f t="shared" si="28"/>
        <v>2022</v>
      </c>
      <c r="C147" s="37" t="str">
        <f t="shared" si="29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30"/>
        <v>100</v>
      </c>
      <c r="I147" s="30"/>
    </row>
    <row r="148" spans="1:9" ht="12.75" customHeight="1" x14ac:dyDescent="0.2">
      <c r="A148" s="37">
        <f t="shared" ref="A148:A150" si="34">MONTH(D148)</f>
        <v>11</v>
      </c>
      <c r="B148" s="37">
        <f t="shared" ref="B148:B150" si="35">YEAR(D148)</f>
        <v>2022</v>
      </c>
      <c r="C148" s="37" t="str">
        <f t="shared" ref="C148:C150" si="36">IFERROR("Rent: "&amp;FIND("Rent",E148),IFERROR("Priv Tax: "&amp;FIND("Tax",E148), IFERROR("Income: "&amp;FIND("Payment",E148,1),"")))</f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30"/>
        <v>0</v>
      </c>
      <c r="I148" s="30"/>
    </row>
    <row r="149" spans="1:9" ht="12.75" customHeight="1" x14ac:dyDescent="0.2">
      <c r="A149" s="37">
        <f t="shared" si="34"/>
        <v>12</v>
      </c>
      <c r="B149" s="37">
        <f t="shared" si="35"/>
        <v>2022</v>
      </c>
      <c r="C149" s="37" t="str">
        <f t="shared" si="36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ref="H149:H178" si="37">H148+G149-F149</f>
        <v>3200</v>
      </c>
    </row>
    <row r="150" spans="1:9" ht="12.75" customHeight="1" x14ac:dyDescent="0.2">
      <c r="A150" s="37">
        <f t="shared" si="34"/>
        <v>12</v>
      </c>
      <c r="B150" s="37">
        <f t="shared" si="35"/>
        <v>2022</v>
      </c>
      <c r="C150" s="37" t="str">
        <f t="shared" si="36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37"/>
        <v>1200</v>
      </c>
      <c r="I150" s="30"/>
    </row>
    <row r="151" spans="1:9" ht="12.75" customHeight="1" x14ac:dyDescent="0.2">
      <c r="A151" s="37">
        <f t="shared" ref="A151:A178" si="38">MONTH(D151)</f>
        <v>12</v>
      </c>
      <c r="B151" s="37">
        <f t="shared" ref="B151:B178" si="39">YEAR(D151)</f>
        <v>2022</v>
      </c>
      <c r="C151" s="37" t="str">
        <f t="shared" ref="C151:C178" si="40">IFERROR("Rent: "&amp;FIND("Rent",E151),IFERROR("Priv Tax: "&amp;FIND("Tax",E151), IFERROR("Income: "&amp;FIND("Payment",E151,1),"")))</f>
        <v>Income: 1</v>
      </c>
      <c r="D151" s="28">
        <v>44898</v>
      </c>
      <c r="E151" s="29" t="s">
        <v>51</v>
      </c>
      <c r="F151" s="36">
        <v>1200</v>
      </c>
      <c r="G151" s="36"/>
      <c r="H151" s="38">
        <f t="shared" si="37"/>
        <v>0</v>
      </c>
      <c r="I151" s="30"/>
    </row>
    <row r="152" spans="1:9" ht="12.75" customHeight="1" x14ac:dyDescent="0.2">
      <c r="A152" s="199">
        <f t="shared" si="38"/>
        <v>1</v>
      </c>
      <c r="B152" s="199">
        <f t="shared" si="39"/>
        <v>2023</v>
      </c>
      <c r="C152" s="199" t="str">
        <f t="shared" si="40"/>
        <v>Rent: 1</v>
      </c>
      <c r="D152" s="203" t="str">
        <f>MOD(MONTH(D150), 12)+1 &amp; "/1/" &amp; IF(MONTH(D150)&gt;11, YEAR(D150)+1, YEAR(D150))</f>
        <v>1/1/2023</v>
      </c>
      <c r="E152" s="204" t="str">
        <f>"Rent: "&amp;LOOKUP(A152-1, Months, TextMonths)&amp;" '"&amp;B152</f>
        <v>Rent: Jan '2023</v>
      </c>
      <c r="F152" s="162"/>
      <c r="G152" s="162">
        <v>3200</v>
      </c>
      <c r="H152" s="208">
        <f t="shared" si="37"/>
        <v>3200</v>
      </c>
    </row>
    <row r="153" spans="1:9" ht="12.75" customHeight="1" x14ac:dyDescent="0.2">
      <c r="A153" s="199">
        <f t="shared" si="38"/>
        <v>1</v>
      </c>
      <c r="B153" s="199">
        <f t="shared" si="39"/>
        <v>2023</v>
      </c>
      <c r="C153" s="199" t="str">
        <f t="shared" si="40"/>
        <v>Income: 1</v>
      </c>
      <c r="D153" s="200">
        <v>44929</v>
      </c>
      <c r="E153" s="202" t="s">
        <v>51</v>
      </c>
      <c r="F153" s="162">
        <v>2000</v>
      </c>
      <c r="G153" s="162"/>
      <c r="H153" s="208">
        <f t="shared" si="37"/>
        <v>1200</v>
      </c>
      <c r="I153" s="201"/>
    </row>
    <row r="154" spans="1:9" ht="12.75" customHeight="1" x14ac:dyDescent="0.2">
      <c r="A154" s="199">
        <f t="shared" si="38"/>
        <v>1</v>
      </c>
      <c r="B154" s="199">
        <f t="shared" si="39"/>
        <v>2023</v>
      </c>
      <c r="C154" s="199" t="str">
        <f t="shared" si="40"/>
        <v>Income: 1</v>
      </c>
      <c r="D154" s="200">
        <v>44930</v>
      </c>
      <c r="E154" s="202" t="s">
        <v>51</v>
      </c>
      <c r="F154" s="162">
        <v>1200</v>
      </c>
      <c r="G154" s="162"/>
      <c r="H154" s="208">
        <f t="shared" si="37"/>
        <v>0</v>
      </c>
    </row>
    <row r="155" spans="1:9" ht="12.75" customHeight="1" x14ac:dyDescent="0.2">
      <c r="A155" s="199">
        <f t="shared" si="38"/>
        <v>2</v>
      </c>
      <c r="B155" s="199">
        <f t="shared" si="39"/>
        <v>2023</v>
      </c>
      <c r="C155" s="199" t="str">
        <f t="shared" si="40"/>
        <v>Rent: 1</v>
      </c>
      <c r="D155" s="203" t="str">
        <f>MOD(MONTH(D153), 12)+1 &amp; "/1/" &amp; IF(MONTH(D153)&gt;11, YEAR(D153)+1, YEAR(D153))</f>
        <v>2/1/2023</v>
      </c>
      <c r="E155" s="204" t="str">
        <f>"Rent: "&amp;LOOKUP(A155-1, Months, TextMonths)&amp;" '"&amp;B155</f>
        <v>Rent: Feb '2023</v>
      </c>
      <c r="F155" s="162"/>
      <c r="G155" s="162">
        <v>3200</v>
      </c>
      <c r="H155" s="208">
        <f t="shared" si="37"/>
        <v>3200</v>
      </c>
    </row>
    <row r="156" spans="1:9" ht="12.75" customHeight="1" x14ac:dyDescent="0.2">
      <c r="A156" s="199">
        <f t="shared" si="38"/>
        <v>2</v>
      </c>
      <c r="B156" s="199">
        <f t="shared" si="39"/>
        <v>2023</v>
      </c>
      <c r="C156" s="199" t="str">
        <f t="shared" si="40"/>
        <v>Income: 1</v>
      </c>
      <c r="D156" s="200">
        <v>44960</v>
      </c>
      <c r="E156" s="202" t="s">
        <v>51</v>
      </c>
      <c r="F156" s="162">
        <v>2000</v>
      </c>
      <c r="G156" s="162"/>
      <c r="H156" s="208">
        <f t="shared" si="37"/>
        <v>1200</v>
      </c>
    </row>
    <row r="157" spans="1:9" ht="12.75" customHeight="1" x14ac:dyDescent="0.2">
      <c r="A157" s="199">
        <f t="shared" si="38"/>
        <v>2</v>
      </c>
      <c r="B157" s="199">
        <f t="shared" si="39"/>
        <v>2023</v>
      </c>
      <c r="C157" s="199" t="str">
        <f t="shared" si="40"/>
        <v>Income: 1</v>
      </c>
      <c r="D157" s="200">
        <v>44963</v>
      </c>
      <c r="E157" s="202" t="s">
        <v>51</v>
      </c>
      <c r="F157" s="162">
        <v>1200</v>
      </c>
      <c r="G157" s="162"/>
      <c r="H157" s="208">
        <f t="shared" si="37"/>
        <v>0</v>
      </c>
    </row>
    <row r="158" spans="1:9" ht="12.75" customHeight="1" x14ac:dyDescent="0.2">
      <c r="A158" s="199">
        <f t="shared" si="38"/>
        <v>3</v>
      </c>
      <c r="B158" s="199">
        <f t="shared" si="39"/>
        <v>2023</v>
      </c>
      <c r="C158" s="199" t="str">
        <f t="shared" si="40"/>
        <v>Rent: 1</v>
      </c>
      <c r="D158" s="203" t="str">
        <f>MOD(MONTH(D156), 12)+1 &amp; "/1/" &amp; IF(MONTH(D156)&gt;11, YEAR(D156)+1, YEAR(D156))</f>
        <v>3/1/2023</v>
      </c>
      <c r="E158" s="204" t="str">
        <f>"Rent: "&amp;LOOKUP(A158-1, Months, TextMonths)&amp;" '"&amp;B158</f>
        <v>Rent: Mar '2023</v>
      </c>
      <c r="F158" s="162"/>
      <c r="G158" s="162">
        <v>3400</v>
      </c>
      <c r="H158" s="208">
        <f t="shared" si="37"/>
        <v>3400</v>
      </c>
    </row>
    <row r="159" spans="1:9" ht="12.75" customHeight="1" x14ac:dyDescent="0.2">
      <c r="A159" s="199">
        <f t="shared" si="38"/>
        <v>3</v>
      </c>
      <c r="B159" s="199">
        <f t="shared" si="39"/>
        <v>2023</v>
      </c>
      <c r="C159" s="199" t="str">
        <f t="shared" si="40"/>
        <v>Income: 1</v>
      </c>
      <c r="D159" s="200">
        <v>44988</v>
      </c>
      <c r="E159" s="202" t="s">
        <v>51</v>
      </c>
      <c r="F159" s="162">
        <v>2000</v>
      </c>
      <c r="G159" s="162"/>
      <c r="H159" s="208">
        <f t="shared" si="37"/>
        <v>1400</v>
      </c>
    </row>
    <row r="160" spans="1:9" ht="12.75" customHeight="1" x14ac:dyDescent="0.2">
      <c r="A160" s="199">
        <f t="shared" si="38"/>
        <v>3</v>
      </c>
      <c r="B160" s="199">
        <f t="shared" si="39"/>
        <v>2023</v>
      </c>
      <c r="C160" s="199" t="str">
        <f t="shared" si="40"/>
        <v>Income: 1</v>
      </c>
      <c r="D160" s="200">
        <v>44991</v>
      </c>
      <c r="E160" s="202" t="s">
        <v>51</v>
      </c>
      <c r="F160" s="162">
        <v>1400</v>
      </c>
      <c r="G160" s="162"/>
      <c r="H160" s="208">
        <f t="shared" si="37"/>
        <v>0</v>
      </c>
    </row>
    <row r="161" spans="1:8" ht="12.75" customHeight="1" x14ac:dyDescent="0.2">
      <c r="A161" s="102">
        <f t="shared" si="38"/>
        <v>4</v>
      </c>
      <c r="B161" s="102">
        <f t="shared" si="39"/>
        <v>2023</v>
      </c>
      <c r="C161" s="102" t="str">
        <f t="shared" si="40"/>
        <v>Rent: 1</v>
      </c>
      <c r="D161" s="120" t="str">
        <f>MOD(MONTH(D159), 12)+1 &amp; "/1/" &amp; IF(MONTH(D159)&gt;11, YEAR(D159)+1, YEAR(D159))</f>
        <v>4/1/2023</v>
      </c>
      <c r="E161" s="121" t="str">
        <f>"Rent: "&amp;LOOKUP(A161-1, Months, TextMonths)&amp;" '"&amp;B161</f>
        <v>Rent: Apr '2023</v>
      </c>
      <c r="F161" s="36"/>
      <c r="G161" s="36">
        <v>3450</v>
      </c>
      <c r="H161" s="107">
        <f t="shared" si="37"/>
        <v>3450</v>
      </c>
    </row>
    <row r="162" spans="1:8" ht="12.75" customHeight="1" x14ac:dyDescent="0.2">
      <c r="A162" s="102">
        <f t="shared" si="38"/>
        <v>4</v>
      </c>
      <c r="B162" s="102">
        <f t="shared" si="39"/>
        <v>2023</v>
      </c>
      <c r="C162" s="102" t="str">
        <f t="shared" si="40"/>
        <v>Income: 1</v>
      </c>
      <c r="D162" s="28">
        <v>45019</v>
      </c>
      <c r="E162" s="29" t="s">
        <v>51</v>
      </c>
      <c r="F162" s="36">
        <v>2000</v>
      </c>
      <c r="G162" s="36"/>
      <c r="H162" s="107">
        <f t="shared" si="37"/>
        <v>1450</v>
      </c>
    </row>
    <row r="163" spans="1:8" ht="12.75" customHeight="1" x14ac:dyDescent="0.2">
      <c r="A163" s="102">
        <f t="shared" si="38"/>
        <v>4</v>
      </c>
      <c r="B163" s="102">
        <f t="shared" si="39"/>
        <v>2023</v>
      </c>
      <c r="C163" s="102" t="str">
        <f t="shared" si="40"/>
        <v>Income: 1</v>
      </c>
      <c r="D163" s="28">
        <v>45020</v>
      </c>
      <c r="E163" s="29" t="s">
        <v>51</v>
      </c>
      <c r="F163" s="36">
        <v>1450</v>
      </c>
      <c r="G163" s="36"/>
      <c r="H163" s="107">
        <f t="shared" si="37"/>
        <v>0</v>
      </c>
    </row>
    <row r="164" spans="1:8" ht="12.75" customHeight="1" x14ac:dyDescent="0.2">
      <c r="A164" s="102">
        <f t="shared" si="38"/>
        <v>5</v>
      </c>
      <c r="B164" s="102">
        <f t="shared" si="39"/>
        <v>2023</v>
      </c>
      <c r="C164" s="102" t="str">
        <f t="shared" si="40"/>
        <v>Rent: 1</v>
      </c>
      <c r="D164" s="120" t="str">
        <f>MOD(MONTH(D162), 12)+1 &amp; "/1/" &amp; IF(MONTH(D162)&gt;11, YEAR(D162)+1, YEAR(D162))</f>
        <v>5/1/2023</v>
      </c>
      <c r="E164" s="121" t="str">
        <f>"Rent: "&amp;LOOKUP(A164-1, Months, TextMonths)&amp;" '"&amp;B164</f>
        <v>Rent: May '2023</v>
      </c>
      <c r="F164" s="36"/>
      <c r="G164" s="36">
        <v>3450</v>
      </c>
      <c r="H164" s="107">
        <f t="shared" si="37"/>
        <v>3450</v>
      </c>
    </row>
    <row r="165" spans="1:8" ht="12.75" customHeight="1" x14ac:dyDescent="0.2">
      <c r="A165" s="102">
        <f t="shared" si="38"/>
        <v>4</v>
      </c>
      <c r="B165" s="102">
        <f t="shared" si="39"/>
        <v>2023</v>
      </c>
      <c r="C165" s="102" t="str">
        <f t="shared" si="40"/>
        <v>Income: 1</v>
      </c>
      <c r="D165" s="28">
        <v>45036</v>
      </c>
      <c r="E165" s="29" t="s">
        <v>51</v>
      </c>
      <c r="F165" s="36">
        <v>3450</v>
      </c>
      <c r="G165" s="36"/>
      <c r="H165" s="107">
        <f t="shared" si="37"/>
        <v>0</v>
      </c>
    </row>
    <row r="166" spans="1:8" ht="12.75" customHeight="1" x14ac:dyDescent="0.2">
      <c r="A166" s="102">
        <f t="shared" si="38"/>
        <v>6</v>
      </c>
      <c r="B166" s="102">
        <f t="shared" si="39"/>
        <v>2023</v>
      </c>
      <c r="C166" s="102" t="str">
        <f t="shared" si="40"/>
        <v>Rent: 1</v>
      </c>
      <c r="D166" s="120" t="str">
        <f>MOD(MONTH(D164), 12)+1 &amp; "/1/" &amp; IF(MONTH(D164)&gt;11, YEAR(D164)+1, YEAR(D164))</f>
        <v>6/1/2023</v>
      </c>
      <c r="E166" s="121" t="str">
        <f>"Rent: "&amp;LOOKUP(A166-1, Months, TextMonths)&amp;" '"&amp;B166</f>
        <v>Rent: Jun '2023</v>
      </c>
      <c r="F166" s="36"/>
      <c r="G166" s="36">
        <v>3450</v>
      </c>
      <c r="H166" s="107">
        <f t="shared" si="37"/>
        <v>3450</v>
      </c>
    </row>
    <row r="167" spans="1:8" ht="12.75" customHeight="1" x14ac:dyDescent="0.2">
      <c r="A167" s="102">
        <f t="shared" si="38"/>
        <v>6</v>
      </c>
      <c r="B167" s="102">
        <f t="shared" si="39"/>
        <v>2023</v>
      </c>
      <c r="C167" s="102" t="str">
        <f t="shared" si="40"/>
        <v>Income: 1</v>
      </c>
      <c r="D167" s="28">
        <v>45082</v>
      </c>
      <c r="E167" s="29" t="s">
        <v>51</v>
      </c>
      <c r="F167" s="36">
        <v>700</v>
      </c>
      <c r="G167" s="36"/>
      <c r="H167" s="107">
        <f t="shared" si="37"/>
        <v>2750</v>
      </c>
    </row>
    <row r="168" spans="1:8" ht="12.75" customHeight="1" x14ac:dyDescent="0.2">
      <c r="A168" s="102">
        <f t="shared" si="38"/>
        <v>6</v>
      </c>
      <c r="B168" s="102">
        <f t="shared" si="39"/>
        <v>2023</v>
      </c>
      <c r="C168" s="102" t="str">
        <f t="shared" si="40"/>
        <v>Income: 1</v>
      </c>
      <c r="D168" s="28">
        <v>45082</v>
      </c>
      <c r="E168" s="29" t="s">
        <v>51</v>
      </c>
      <c r="F168" s="36">
        <v>2500</v>
      </c>
      <c r="G168" s="36"/>
      <c r="H168" s="107">
        <f t="shared" si="37"/>
        <v>250</v>
      </c>
    </row>
    <row r="169" spans="1:8" ht="12.75" customHeight="1" x14ac:dyDescent="0.2">
      <c r="A169" s="102">
        <f t="shared" si="38"/>
        <v>6</v>
      </c>
      <c r="B169" s="102">
        <f t="shared" si="39"/>
        <v>2023</v>
      </c>
      <c r="C169" s="102" t="str">
        <f t="shared" si="40"/>
        <v>Income: 1</v>
      </c>
      <c r="D169" s="28">
        <v>45105</v>
      </c>
      <c r="E169" s="29" t="s">
        <v>51</v>
      </c>
      <c r="F169" s="36">
        <v>250</v>
      </c>
      <c r="G169" s="36"/>
      <c r="H169" s="107">
        <f t="shared" si="37"/>
        <v>0</v>
      </c>
    </row>
    <row r="170" spans="1:8" ht="12.75" customHeight="1" x14ac:dyDescent="0.2">
      <c r="A170" s="102">
        <f t="shared" si="38"/>
        <v>7</v>
      </c>
      <c r="B170" s="102">
        <f t="shared" si="39"/>
        <v>2023</v>
      </c>
      <c r="C170" s="102" t="str">
        <f t="shared" si="40"/>
        <v>Rent: 1</v>
      </c>
      <c r="D170" s="120" t="str">
        <f>MOD(MONTH(D167), 12)+1 &amp; "/1/" &amp; IF(MONTH(D167)&gt;11, YEAR(D167)+1, YEAR(D167))</f>
        <v>7/1/2023</v>
      </c>
      <c r="E170" s="121" t="str">
        <f>"Rent: "&amp;LOOKUP(A170-1, Months, TextMonths)&amp;" '"&amp;B170</f>
        <v>Rent: Jul '2023</v>
      </c>
      <c r="F170" s="36"/>
      <c r="G170" s="36">
        <v>3450</v>
      </c>
      <c r="H170" s="107">
        <f t="shared" si="37"/>
        <v>3450</v>
      </c>
    </row>
    <row r="171" spans="1:8" ht="12.75" customHeight="1" x14ac:dyDescent="0.2">
      <c r="A171" s="102">
        <f t="shared" si="38"/>
        <v>8</v>
      </c>
      <c r="B171" s="102">
        <f t="shared" si="39"/>
        <v>2023</v>
      </c>
      <c r="C171" s="102" t="str">
        <f t="shared" si="40"/>
        <v>Income: 1</v>
      </c>
      <c r="D171" s="28">
        <v>45141</v>
      </c>
      <c r="E171" s="29" t="s">
        <v>51</v>
      </c>
      <c r="F171" s="36">
        <v>2000</v>
      </c>
      <c r="G171" s="36"/>
      <c r="H171" s="107">
        <f t="shared" si="37"/>
        <v>1450</v>
      </c>
    </row>
    <row r="172" spans="1:8" ht="12.75" customHeight="1" x14ac:dyDescent="0.2">
      <c r="A172" s="102">
        <f t="shared" si="38"/>
        <v>8</v>
      </c>
      <c r="B172" s="102">
        <f t="shared" si="39"/>
        <v>2023</v>
      </c>
      <c r="C172" s="102" t="str">
        <f t="shared" si="40"/>
        <v>Income: 1</v>
      </c>
      <c r="D172" s="28">
        <v>45141</v>
      </c>
      <c r="E172" s="29" t="s">
        <v>51</v>
      </c>
      <c r="F172" s="36">
        <v>1450</v>
      </c>
      <c r="G172" s="36"/>
      <c r="H172" s="107">
        <f t="shared" si="37"/>
        <v>0</v>
      </c>
    </row>
    <row r="173" spans="1:8" ht="12.75" customHeight="1" x14ac:dyDescent="0.2">
      <c r="A173" s="102">
        <f t="shared" si="38"/>
        <v>8</v>
      </c>
      <c r="B173" s="102">
        <f t="shared" si="39"/>
        <v>2023</v>
      </c>
      <c r="C173" s="102" t="str">
        <f t="shared" si="40"/>
        <v>Rent: 1</v>
      </c>
      <c r="D173" s="120" t="str">
        <f>MOD(MONTH(D170), 12)+1 &amp; "/1/" &amp; IF(MONTH(D170)&gt;11, YEAR(D170)+1, YEAR(D170))</f>
        <v>8/1/2023</v>
      </c>
      <c r="E173" s="121" t="str">
        <f>"Rent: "&amp;LOOKUP(A173-1, Months, TextMonths)&amp;" '"&amp;B173</f>
        <v>Rent: Aug '2023</v>
      </c>
      <c r="F173" s="36"/>
      <c r="G173" s="36">
        <v>3450</v>
      </c>
      <c r="H173" s="107">
        <f t="shared" si="37"/>
        <v>3450</v>
      </c>
    </row>
    <row r="174" spans="1:8" ht="12.75" customHeight="1" x14ac:dyDescent="0.2">
      <c r="A174" s="102">
        <f t="shared" si="38"/>
        <v>8</v>
      </c>
      <c r="B174" s="102">
        <f t="shared" si="39"/>
        <v>2023</v>
      </c>
      <c r="C174" s="102" t="str">
        <f t="shared" si="40"/>
        <v>Income: 1</v>
      </c>
      <c r="D174" s="28">
        <v>45141</v>
      </c>
      <c r="E174" s="29" t="s">
        <v>51</v>
      </c>
      <c r="F174" s="36">
        <v>2000</v>
      </c>
      <c r="G174" s="36"/>
      <c r="H174" s="107">
        <f t="shared" si="37"/>
        <v>1450</v>
      </c>
    </row>
    <row r="175" spans="1:8" ht="12.75" customHeight="1" x14ac:dyDescent="0.2">
      <c r="A175" s="102">
        <f t="shared" si="38"/>
        <v>8</v>
      </c>
      <c r="B175" s="102">
        <f t="shared" si="39"/>
        <v>2023</v>
      </c>
      <c r="C175" s="102" t="str">
        <f t="shared" si="40"/>
        <v>Income: 1</v>
      </c>
      <c r="D175" s="28">
        <v>45141</v>
      </c>
      <c r="E175" s="29" t="s">
        <v>51</v>
      </c>
      <c r="F175" s="36">
        <v>1450</v>
      </c>
      <c r="G175" s="36"/>
      <c r="H175" s="107">
        <f t="shared" si="37"/>
        <v>0</v>
      </c>
    </row>
    <row r="176" spans="1:8" ht="12.75" customHeight="1" x14ac:dyDescent="0.2">
      <c r="A176" s="102">
        <f t="shared" si="38"/>
        <v>9</v>
      </c>
      <c r="B176" s="102">
        <f t="shared" si="39"/>
        <v>2023</v>
      </c>
      <c r="C176" s="102" t="str">
        <f t="shared" si="40"/>
        <v>Rent: 1</v>
      </c>
      <c r="D176" s="120" t="str">
        <f>MOD(MONTH(D173), 12)+1 &amp; "/1/" &amp; IF(MONTH(D173)&gt;11, YEAR(D173)+1, YEAR(D173))</f>
        <v>9/1/2023</v>
      </c>
      <c r="E176" s="121" t="str">
        <f>"Rent: "&amp;LOOKUP(A176-1, Months, TextMonths)&amp;" '"&amp;B176</f>
        <v>Rent: Sep '2023</v>
      </c>
      <c r="F176" s="36"/>
      <c r="G176" s="36">
        <v>3450</v>
      </c>
      <c r="H176" s="107">
        <f t="shared" si="37"/>
        <v>3450</v>
      </c>
    </row>
    <row r="177" spans="1:8" ht="12.75" customHeight="1" x14ac:dyDescent="0.2">
      <c r="A177" s="102">
        <f t="shared" si="38"/>
        <v>9</v>
      </c>
      <c r="B177" s="102">
        <f t="shared" si="39"/>
        <v>2023</v>
      </c>
      <c r="C177" s="102" t="str">
        <f t="shared" si="40"/>
        <v>Income: 1</v>
      </c>
      <c r="D177" s="28">
        <v>45174</v>
      </c>
      <c r="E177" s="29" t="s">
        <v>51</v>
      </c>
      <c r="F177" s="36">
        <v>2000</v>
      </c>
      <c r="G177" s="36"/>
      <c r="H177" s="107">
        <f t="shared" si="37"/>
        <v>1450</v>
      </c>
    </row>
    <row r="178" spans="1:8" ht="12.75" customHeight="1" x14ac:dyDescent="0.2">
      <c r="A178" s="102">
        <f t="shared" si="38"/>
        <v>9</v>
      </c>
      <c r="B178" s="102">
        <f t="shared" si="39"/>
        <v>2023</v>
      </c>
      <c r="C178" s="102" t="str">
        <f t="shared" si="40"/>
        <v>Income: 1</v>
      </c>
      <c r="D178" s="28">
        <v>45174</v>
      </c>
      <c r="E178" s="29" t="s">
        <v>51</v>
      </c>
      <c r="F178" s="36">
        <v>1450</v>
      </c>
      <c r="G178" s="36"/>
      <c r="H178" s="107">
        <f t="shared" si="37"/>
        <v>0</v>
      </c>
    </row>
    <row r="179" spans="1:8" ht="12.75" customHeight="1" x14ac:dyDescent="0.2">
      <c r="A179" s="102">
        <f t="shared" ref="A179:A181" si="41">MONTH(D179)</f>
        <v>10</v>
      </c>
      <c r="B179" s="102">
        <f t="shared" ref="B179:B181" si="42">YEAR(D179)</f>
        <v>2023</v>
      </c>
      <c r="C179" s="102" t="str">
        <f t="shared" ref="C179:C181" si="43">IFERROR("Rent: "&amp;FIND("Rent",E179),IFERROR("Priv Tax: "&amp;FIND("Tax",E179), IFERROR("Income: "&amp;FIND("Payment",E179,1),"")))</f>
        <v>Rent: 1</v>
      </c>
      <c r="D179" s="120" t="str">
        <f>MOD(MONTH(D176), 12)+1 &amp; "/1/" &amp; IF(MONTH(D176)&gt;11, YEAR(D176)+1, YEAR(D176))</f>
        <v>10/1/2023</v>
      </c>
      <c r="E179" s="121" t="str">
        <f>"Rent: "&amp;LOOKUP(A179-1, Months, TextMonths)&amp;" '"&amp;B179</f>
        <v>Rent: Oct '2023</v>
      </c>
      <c r="F179" s="36"/>
      <c r="G179" s="36">
        <v>3450</v>
      </c>
      <c r="H179" s="107">
        <f t="shared" ref="H179:H181" si="44">H178+G179-F179</f>
        <v>3450</v>
      </c>
    </row>
    <row r="180" spans="1:8" ht="12.75" customHeight="1" x14ac:dyDescent="0.2">
      <c r="A180" s="102">
        <f t="shared" si="41"/>
        <v>10</v>
      </c>
      <c r="B180" s="102">
        <f t="shared" si="42"/>
        <v>2023</v>
      </c>
      <c r="C180" s="102" t="str">
        <f t="shared" si="43"/>
        <v>Income: 1</v>
      </c>
      <c r="D180" s="28">
        <v>45204</v>
      </c>
      <c r="E180" s="29" t="s">
        <v>51</v>
      </c>
      <c r="F180" s="36">
        <v>2000</v>
      </c>
      <c r="G180" s="36"/>
      <c r="H180" s="107">
        <f t="shared" si="44"/>
        <v>1450</v>
      </c>
    </row>
    <row r="181" spans="1:8" ht="12.75" customHeight="1" x14ac:dyDescent="0.2">
      <c r="A181" s="102">
        <f t="shared" si="41"/>
        <v>10</v>
      </c>
      <c r="B181" s="102">
        <f t="shared" si="42"/>
        <v>2023</v>
      </c>
      <c r="C181" s="102" t="str">
        <f t="shared" si="43"/>
        <v>Income: 1</v>
      </c>
      <c r="D181" s="28">
        <v>45204</v>
      </c>
      <c r="E181" s="29" t="s">
        <v>51</v>
      </c>
      <c r="F181" s="36">
        <v>1450</v>
      </c>
      <c r="G181" s="36"/>
      <c r="H181" s="107">
        <f t="shared" si="44"/>
        <v>0</v>
      </c>
    </row>
    <row r="182" spans="1:8" ht="12.75" customHeight="1" x14ac:dyDescent="0.2">
      <c r="F182" s="36"/>
      <c r="G182" s="36"/>
      <c r="H182" s="36"/>
    </row>
    <row r="183" spans="1:8" ht="12.75" customHeight="1" x14ac:dyDescent="0.2">
      <c r="F183" s="36"/>
      <c r="G183" s="36"/>
      <c r="H183" s="36"/>
    </row>
    <row r="184" spans="1:8" ht="12.75" customHeight="1" x14ac:dyDescent="0.2">
      <c r="F184" s="36"/>
      <c r="G184" s="36"/>
      <c r="H184" s="36"/>
    </row>
    <row r="185" spans="1:8" ht="12.75" customHeight="1" x14ac:dyDescent="0.2">
      <c r="F185" s="36"/>
      <c r="G185" s="36"/>
      <c r="H185" s="36"/>
    </row>
    <row r="186" spans="1:8" ht="12.75" customHeight="1" x14ac:dyDescent="0.2">
      <c r="F186" s="36"/>
      <c r="G186" s="36"/>
      <c r="H186" s="36"/>
    </row>
    <row r="187" spans="1:8" ht="12.75" customHeight="1" x14ac:dyDescent="0.2">
      <c r="F187" s="36"/>
      <c r="G187" s="36"/>
      <c r="H187" s="36"/>
    </row>
    <row r="188" spans="1:8" ht="12.75" customHeight="1" x14ac:dyDescent="0.2">
      <c r="F188" s="36"/>
      <c r="G188" s="36"/>
      <c r="H188" s="36"/>
    </row>
    <row r="189" spans="1:8" ht="12.75" customHeight="1" x14ac:dyDescent="0.2">
      <c r="F189" s="36"/>
      <c r="G189" s="36"/>
      <c r="H189" s="36"/>
    </row>
    <row r="190" spans="1:8" ht="12.75" customHeight="1" x14ac:dyDescent="0.2">
      <c r="F190" s="36"/>
      <c r="G190" s="36"/>
      <c r="H190" s="36"/>
    </row>
    <row r="191" spans="1:8" ht="12.75" customHeight="1" x14ac:dyDescent="0.2">
      <c r="F191" s="36"/>
      <c r="G191" s="36"/>
      <c r="H191" s="36"/>
    </row>
    <row r="192" spans="1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  <row r="1003" spans="6:8" ht="12.75" customHeight="1" x14ac:dyDescent="0.2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tabSelected="1" workbookViewId="0">
      <pane xSplit="3" ySplit="4" topLeftCell="D5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K29" sqref="K29"/>
    </sheetView>
  </sheetViews>
  <sheetFormatPr defaultColWidth="12.5703125" defaultRowHeight="15" customHeight="1" x14ac:dyDescent="0.2"/>
  <cols>
    <col min="1" max="1" width="14.5703125" customWidth="1"/>
    <col min="2" max="2" width="8.5703125" customWidth="1"/>
    <col min="3" max="3" width="9.42578125" customWidth="1"/>
    <col min="4" max="4" width="10.140625" customWidth="1"/>
    <col min="5" max="5" width="36.28515625" customWidth="1"/>
    <col min="6" max="6" width="13.42578125" customWidth="1"/>
    <col min="7" max="8" width="14.7109375" customWidth="1"/>
    <col min="9" max="9" width="12.5703125" customWidth="1"/>
    <col min="10" max="10" width="10.140625" customWidth="1"/>
    <col min="11" max="11" width="14.140625" customWidth="1"/>
    <col min="12" max="12" width="12" customWidth="1"/>
    <col min="13" max="13" width="14.85546875" customWidth="1"/>
    <col min="14" max="14" width="12.28515625" customWidth="1"/>
    <col min="15" max="26" width="8.5703125" customWidth="1"/>
  </cols>
  <sheetData>
    <row r="1" spans="1:14" ht="12.75" customHeight="1" x14ac:dyDescent="0.2">
      <c r="C1" t="s">
        <v>127</v>
      </c>
      <c r="D1" s="163" t="s">
        <v>143</v>
      </c>
      <c r="E1" s="104"/>
      <c r="F1" s="104" t="s">
        <v>175</v>
      </c>
      <c r="G1" s="150" t="s">
        <v>123</v>
      </c>
      <c r="H1" s="34" t="s">
        <v>52</v>
      </c>
      <c r="I1" s="147"/>
      <c r="J1" s="104"/>
    </row>
    <row r="2" spans="1:14" ht="12.75" customHeight="1" x14ac:dyDescent="0.2">
      <c r="D2" t="s">
        <v>142</v>
      </c>
      <c r="E2" s="104"/>
      <c r="F2" s="246">
        <v>2125</v>
      </c>
      <c r="G2" s="151">
        <v>3</v>
      </c>
      <c r="H2" s="105">
        <v>25</v>
      </c>
      <c r="I2" s="153" t="s">
        <v>41</v>
      </c>
      <c r="J2" s="104"/>
    </row>
    <row r="3" spans="1:14" ht="12.75" customHeight="1" x14ac:dyDescent="0.25">
      <c r="A3" s="30">
        <f>COUNTIF(A7:A65537, "&lt;&gt;")+2</f>
        <v>219</v>
      </c>
      <c r="D3" s="35">
        <f t="array" ref="D3">INDEX(D7:D65536, A3)</f>
        <v>45201</v>
      </c>
      <c r="E3" s="122"/>
      <c r="F3" s="105"/>
      <c r="G3" s="149" t="s">
        <v>40</v>
      </c>
      <c r="H3" s="152">
        <f t="array" ref="H3">INDEX(H7:H65536, A3)</f>
        <v>-2.9499999986910552E-3</v>
      </c>
      <c r="I3" s="154">
        <v>45342</v>
      </c>
      <c r="J3" s="105"/>
      <c r="K3" s="67" t="s">
        <v>65</v>
      </c>
    </row>
    <row r="4" spans="1:14" ht="12.75" customHeight="1" x14ac:dyDescent="0.2">
      <c r="A4" s="37" t="s">
        <v>43</v>
      </c>
      <c r="B4" s="37" t="s">
        <v>10</v>
      </c>
      <c r="C4" s="37" t="s">
        <v>59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259" t="s">
        <v>66</v>
      </c>
      <c r="J4" s="260"/>
      <c r="K4" s="261"/>
      <c r="L4" s="69" t="s">
        <v>67</v>
      </c>
    </row>
    <row r="5" spans="1:14" ht="12.75" customHeight="1" x14ac:dyDescent="0.2">
      <c r="A5" t="s">
        <v>190</v>
      </c>
      <c r="B5" s="163" t="s">
        <v>131</v>
      </c>
      <c r="J5" s="257"/>
      <c r="K5" s="257"/>
      <c r="L5" s="258"/>
    </row>
    <row r="6" spans="1:14" ht="12.75" customHeight="1" thickBot="1" x14ac:dyDescent="0.25">
      <c r="A6" s="163" t="s">
        <v>177</v>
      </c>
      <c r="B6" s="170" t="s">
        <v>137</v>
      </c>
    </row>
    <row r="7" spans="1:14" ht="12.75" customHeight="1" x14ac:dyDescent="0.25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74</v>
      </c>
      <c r="F7" s="45"/>
      <c r="G7" s="45">
        <v>250</v>
      </c>
      <c r="H7" s="74">
        <f>G7</f>
        <v>250</v>
      </c>
      <c r="I7" s="104"/>
      <c r="J7" s="104"/>
      <c r="K7" s="104"/>
      <c r="L7" s="104"/>
    </row>
    <row r="8" spans="1:14" ht="12.75" customHeight="1" x14ac:dyDescent="0.25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75</v>
      </c>
      <c r="F8" s="36"/>
      <c r="G8" s="36">
        <v>250</v>
      </c>
      <c r="H8" s="38">
        <f t="shared" ref="H8:H116" si="3">H7+G8-F8</f>
        <v>500</v>
      </c>
      <c r="I8" s="122"/>
      <c r="J8" s="122"/>
      <c r="K8" s="122"/>
      <c r="L8" s="104"/>
      <c r="M8" s="36"/>
      <c r="N8" s="36"/>
    </row>
    <row r="9" spans="1:14" ht="12.75" customHeight="1" x14ac:dyDescent="0.25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4"/>
      <c r="J9" s="159"/>
      <c r="K9" s="122"/>
      <c r="L9" s="104"/>
      <c r="M9" s="30"/>
      <c r="N9" s="15"/>
    </row>
    <row r="10" spans="1:14" ht="12.75" customHeight="1" x14ac:dyDescent="0.25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76</v>
      </c>
      <c r="F10" s="36"/>
      <c r="G10" s="36">
        <v>186</v>
      </c>
      <c r="H10" s="38">
        <f t="shared" si="3"/>
        <v>2036</v>
      </c>
      <c r="I10" s="104"/>
      <c r="J10" s="148"/>
      <c r="K10" s="122"/>
      <c r="L10" s="104"/>
      <c r="M10" s="36"/>
      <c r="N10" s="15"/>
    </row>
    <row r="11" spans="1:14" ht="12.75" customHeight="1" thickBot="1" x14ac:dyDescent="0.3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4"/>
      <c r="J11" s="104"/>
      <c r="K11" s="104"/>
      <c r="L11" s="104"/>
      <c r="N11" s="15"/>
    </row>
    <row r="12" spans="1:14" ht="12.75" customHeight="1" x14ac:dyDescent="0.25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4"/>
      <c r="J12" s="122"/>
      <c r="K12" s="122"/>
      <c r="L12" s="104"/>
      <c r="N12" s="15"/>
    </row>
    <row r="13" spans="1:14" ht="12.75" customHeight="1" x14ac:dyDescent="0.2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4"/>
      <c r="J13" s="159"/>
      <c r="K13" s="122"/>
      <c r="L13" s="104"/>
      <c r="M13" s="36"/>
      <c r="N13" s="36"/>
    </row>
    <row r="14" spans="1:14" ht="12.75" customHeight="1" x14ac:dyDescent="0.2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4"/>
      <c r="J14" s="159"/>
      <c r="K14" s="122"/>
      <c r="L14" s="104"/>
      <c r="M14" s="36"/>
      <c r="N14" s="36"/>
    </row>
    <row r="15" spans="1:14" ht="12.75" customHeight="1" x14ac:dyDescent="0.25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4"/>
      <c r="J15" s="104"/>
      <c r="K15" s="122"/>
      <c r="L15" s="104"/>
    </row>
    <row r="16" spans="1:14" ht="12.75" customHeight="1" x14ac:dyDescent="0.2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5"/>
      <c r="J16" s="105"/>
      <c r="K16" s="122"/>
      <c r="L16" s="104"/>
    </row>
    <row r="17" spans="1:14" ht="12.75" customHeight="1" thickBot="1" x14ac:dyDescent="0.3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2"/>
      <c r="J17" s="122"/>
      <c r="K17" s="122"/>
      <c r="L17" s="104"/>
    </row>
    <row r="18" spans="1:14" ht="12.75" customHeight="1" x14ac:dyDescent="0.2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4"/>
      <c r="J18" s="104"/>
      <c r="K18" s="104"/>
      <c r="L18" s="104"/>
    </row>
    <row r="19" spans="1:14" ht="12.75" customHeight="1" x14ac:dyDescent="0.25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5"/>
      <c r="J19" s="105"/>
      <c r="K19" s="105"/>
      <c r="L19" s="105"/>
    </row>
    <row r="20" spans="1:14" ht="12.75" customHeight="1" x14ac:dyDescent="0.2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2"/>
      <c r="J20" s="122"/>
      <c r="K20" s="122"/>
      <c r="L20" s="104"/>
      <c r="M20" s="36"/>
      <c r="N20" s="36"/>
    </row>
    <row r="21" spans="1:14" ht="12.75" customHeight="1" x14ac:dyDescent="0.25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4"/>
      <c r="J21" s="104"/>
      <c r="K21" s="105"/>
      <c r="L21" s="105"/>
    </row>
    <row r="22" spans="1:14" ht="12.75" customHeight="1" x14ac:dyDescent="0.2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5"/>
      <c r="J22" s="105"/>
      <c r="K22" s="122"/>
      <c r="L22" s="104"/>
      <c r="M22" s="36"/>
      <c r="N22" s="36"/>
    </row>
    <row r="23" spans="1:14" ht="12.75" customHeight="1" thickBot="1" x14ac:dyDescent="0.3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5"/>
      <c r="J23" s="105"/>
      <c r="K23" s="105"/>
      <c r="L23" s="105"/>
    </row>
    <row r="24" spans="1:14" ht="12.75" customHeight="1" x14ac:dyDescent="0.2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4"/>
      <c r="J24" s="104"/>
      <c r="K24" s="104"/>
      <c r="L24" s="104"/>
      <c r="M24" s="36"/>
      <c r="N24" s="36"/>
    </row>
    <row r="25" spans="1:14" ht="12.75" customHeight="1" x14ac:dyDescent="0.25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5"/>
      <c r="J25" s="105"/>
      <c r="K25" s="105"/>
      <c r="L25" s="105"/>
    </row>
    <row r="26" spans="1:14" ht="12.75" customHeight="1" x14ac:dyDescent="0.2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2"/>
      <c r="J26" s="122"/>
      <c r="K26" s="122"/>
      <c r="L26" s="104"/>
      <c r="M26" s="36"/>
      <c r="N26" s="36"/>
    </row>
    <row r="27" spans="1:14" ht="12.75" customHeight="1" x14ac:dyDescent="0.25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2"/>
      <c r="J27" s="122"/>
      <c r="K27" s="105"/>
      <c r="L27" s="105"/>
    </row>
    <row r="28" spans="1:14" ht="12.75" customHeight="1" x14ac:dyDescent="0.2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4"/>
      <c r="J28" s="104"/>
      <c r="K28" s="122"/>
      <c r="L28" s="104"/>
    </row>
    <row r="29" spans="1:14" ht="12.75" customHeight="1" x14ac:dyDescent="0.2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5"/>
      <c r="J29" s="105"/>
      <c r="K29" s="122"/>
      <c r="L29" s="104"/>
    </row>
    <row r="30" spans="1:14" ht="12.75" customHeight="1" thickBot="1" x14ac:dyDescent="0.3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4"/>
      <c r="J30" s="104"/>
      <c r="K30" s="104"/>
      <c r="L30" s="104"/>
    </row>
    <row r="31" spans="1:14" ht="12.75" customHeight="1" x14ac:dyDescent="0.2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4"/>
      <c r="J31" s="104"/>
      <c r="K31" s="104"/>
      <c r="L31" s="104"/>
    </row>
    <row r="32" spans="1:14" ht="12.75" customHeight="1" x14ac:dyDescent="0.2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66</v>
      </c>
      <c r="F32" s="36"/>
      <c r="G32" s="36">
        <f>G31*0.018</f>
        <v>24.665939999999996</v>
      </c>
      <c r="H32" s="38">
        <f t="shared" si="3"/>
        <v>1394.99188</v>
      </c>
      <c r="I32" s="122"/>
      <c r="J32" s="122"/>
      <c r="K32" s="122"/>
      <c r="L32" s="104"/>
    </row>
    <row r="33" spans="1:12" ht="12.75" customHeight="1" x14ac:dyDescent="0.25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2"/>
      <c r="J33" s="122"/>
      <c r="K33" s="122"/>
      <c r="L33" s="104"/>
    </row>
    <row r="34" spans="1:12" ht="12.75" customHeight="1" x14ac:dyDescent="0.2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2"/>
      <c r="J34" s="122"/>
      <c r="K34" s="122"/>
      <c r="L34" s="104"/>
    </row>
    <row r="35" spans="1:12" ht="12.75" customHeight="1" x14ac:dyDescent="0.2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66</v>
      </c>
      <c r="F35" s="36"/>
      <c r="G35" s="36">
        <f>G34*0.018</f>
        <v>24.665939999999996</v>
      </c>
      <c r="H35" s="38">
        <f t="shared" si="3"/>
        <v>1394.9878200000001</v>
      </c>
      <c r="I35" s="122"/>
      <c r="J35" s="122"/>
      <c r="K35" s="122"/>
      <c r="L35" s="104"/>
    </row>
    <row r="36" spans="1:12" ht="12.75" customHeight="1" x14ac:dyDescent="0.25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4"/>
      <c r="J36" s="159"/>
      <c r="K36" s="105"/>
      <c r="L36" s="105"/>
    </row>
    <row r="37" spans="1:12" ht="12.75" customHeight="1" x14ac:dyDescent="0.25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8"/>
      <c r="J37" s="148"/>
      <c r="K37" s="105"/>
      <c r="L37" s="105"/>
    </row>
    <row r="38" spans="1:12" ht="12.75" customHeight="1" x14ac:dyDescent="0.2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2"/>
      <c r="J38" s="122"/>
      <c r="K38" s="122"/>
      <c r="L38" s="104"/>
    </row>
    <row r="39" spans="1:12" ht="12.75" customHeight="1" x14ac:dyDescent="0.2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66</v>
      </c>
      <c r="F39" s="36"/>
      <c r="G39" s="36">
        <f>G38*0.018</f>
        <v>24.665939999999996</v>
      </c>
      <c r="H39" s="38">
        <f t="shared" si="3"/>
        <v>1394.9837600000001</v>
      </c>
      <c r="I39" s="104"/>
      <c r="J39" s="104"/>
      <c r="K39" s="122"/>
      <c r="L39" s="104"/>
    </row>
    <row r="40" spans="1:12" ht="12.75" customHeight="1" x14ac:dyDescent="0.25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5"/>
      <c r="J40" s="105"/>
      <c r="K40" s="105"/>
      <c r="L40" s="105"/>
    </row>
    <row r="41" spans="1:12" ht="12.75" customHeight="1" thickBot="1" x14ac:dyDescent="0.3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4"/>
      <c r="J41" s="104"/>
      <c r="K41" s="105"/>
      <c r="L41" s="105"/>
    </row>
    <row r="42" spans="1:12" ht="12.75" customHeight="1" x14ac:dyDescent="0.2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4"/>
      <c r="J42" s="104"/>
      <c r="K42" s="104"/>
      <c r="L42" s="104"/>
    </row>
    <row r="43" spans="1:12" ht="12.75" customHeight="1" x14ac:dyDescent="0.2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66</v>
      </c>
      <c r="F43" s="36"/>
      <c r="G43" s="36">
        <f>G42*0.018</f>
        <v>24.665939999999996</v>
      </c>
      <c r="H43" s="38">
        <f t="shared" si="3"/>
        <v>1394.9797000000001</v>
      </c>
      <c r="I43" s="122"/>
      <c r="J43" s="122"/>
      <c r="K43" s="104"/>
      <c r="L43" s="104"/>
    </row>
    <row r="44" spans="1:12" ht="12.75" customHeight="1" x14ac:dyDescent="0.25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77</v>
      </c>
      <c r="F44" s="36">
        <v>94.98</v>
      </c>
      <c r="G44" s="36"/>
      <c r="H44" s="38">
        <f t="shared" si="3"/>
        <v>1299.9997000000001</v>
      </c>
      <c r="I44" s="122"/>
      <c r="J44" s="122"/>
      <c r="K44" s="104"/>
      <c r="L44" s="104"/>
    </row>
    <row r="45" spans="1:12" ht="12.75" customHeight="1" x14ac:dyDescent="0.25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2"/>
      <c r="J45" s="122"/>
      <c r="K45" s="105"/>
      <c r="L45" s="105"/>
    </row>
    <row r="46" spans="1:12" ht="12.75" customHeight="1" x14ac:dyDescent="0.2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2"/>
      <c r="J46" s="122"/>
      <c r="K46" s="104"/>
      <c r="L46" s="104"/>
    </row>
    <row r="47" spans="1:12" ht="12.75" customHeight="1" x14ac:dyDescent="0.2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66</v>
      </c>
      <c r="F47" s="36"/>
      <c r="G47" s="36">
        <f>G46*0.018</f>
        <v>24.665939999999996</v>
      </c>
      <c r="H47" s="38">
        <f t="shared" si="3"/>
        <v>1394.9956400000001</v>
      </c>
      <c r="I47" s="122"/>
      <c r="J47" s="122"/>
      <c r="K47" s="104"/>
      <c r="L47" s="104"/>
    </row>
    <row r="48" spans="1:12" ht="12.75" customHeight="1" x14ac:dyDescent="0.25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2"/>
      <c r="J48" s="122"/>
      <c r="K48" s="105"/>
      <c r="L48" s="105"/>
    </row>
    <row r="49" spans="1:13" ht="12.75" customHeight="1" x14ac:dyDescent="0.2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4"/>
      <c r="J49" s="104"/>
      <c r="K49" s="104"/>
      <c r="L49" s="104"/>
    </row>
    <row r="50" spans="1:13" ht="12.75" customHeight="1" x14ac:dyDescent="0.2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66</v>
      </c>
      <c r="F50" s="36"/>
      <c r="G50" s="36">
        <f>G49*0.018</f>
        <v>24.665939999999996</v>
      </c>
      <c r="H50" s="38">
        <f t="shared" si="3"/>
        <v>1394.9915800000001</v>
      </c>
      <c r="I50" s="105"/>
      <c r="J50" s="105"/>
      <c r="K50" s="104"/>
      <c r="L50" s="104"/>
    </row>
    <row r="51" spans="1:13" ht="12.75" customHeight="1" thickBot="1" x14ac:dyDescent="0.3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4"/>
      <c r="J51" s="104"/>
      <c r="K51" s="105"/>
      <c r="L51" s="105"/>
    </row>
    <row r="52" spans="1:13" ht="12.75" customHeight="1" x14ac:dyDescent="0.2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4"/>
      <c r="J52" s="104"/>
      <c r="K52" s="104"/>
      <c r="L52" s="122"/>
    </row>
    <row r="53" spans="1:13" ht="12.75" customHeight="1" x14ac:dyDescent="0.2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66</v>
      </c>
      <c r="F53" s="36"/>
      <c r="G53" s="36">
        <f>G52*0.018</f>
        <v>24.666011787819251</v>
      </c>
      <c r="H53" s="38">
        <f t="shared" si="3"/>
        <v>1394.9915800000001</v>
      </c>
      <c r="I53" s="122"/>
      <c r="J53" s="122"/>
      <c r="K53" s="104"/>
      <c r="L53" s="122"/>
    </row>
    <row r="54" spans="1:13" ht="12.75" customHeight="1" x14ac:dyDescent="0.25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2"/>
      <c r="J54" s="122"/>
      <c r="K54" s="105"/>
      <c r="L54" s="105"/>
    </row>
    <row r="55" spans="1:13" ht="12.75" customHeight="1" x14ac:dyDescent="0.2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2"/>
      <c r="J55" s="122"/>
      <c r="K55" s="104"/>
      <c r="L55" s="122"/>
    </row>
    <row r="56" spans="1:13" ht="12.75" customHeight="1" x14ac:dyDescent="0.2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66</v>
      </c>
      <c r="F56" s="36"/>
      <c r="G56" s="36">
        <f>G55*0.018</f>
        <v>24.665939999999996</v>
      </c>
      <c r="H56" s="38">
        <f t="shared" si="3"/>
        <v>1394.9875200000001</v>
      </c>
      <c r="I56" s="122"/>
      <c r="J56" s="122"/>
      <c r="K56" s="104"/>
      <c r="L56" s="122"/>
    </row>
    <row r="57" spans="1:13" ht="12.75" customHeight="1" x14ac:dyDescent="0.25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4"/>
      <c r="J57" s="104"/>
      <c r="K57" s="105"/>
      <c r="L57" s="105"/>
    </row>
    <row r="58" spans="1:13" ht="12.75" customHeight="1" x14ac:dyDescent="0.2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5"/>
      <c r="J58" s="105"/>
      <c r="K58" s="104"/>
      <c r="L58" s="122"/>
      <c r="M58" s="30"/>
    </row>
    <row r="59" spans="1:13" ht="12.75" customHeight="1" x14ac:dyDescent="0.2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66</v>
      </c>
      <c r="F59" s="36"/>
      <c r="G59" s="36">
        <f>G58*0.018</f>
        <v>24.665939999999996</v>
      </c>
      <c r="H59" s="38">
        <f t="shared" si="3"/>
        <v>1394.9834600000002</v>
      </c>
      <c r="I59" s="122"/>
      <c r="J59" s="104"/>
      <c r="K59" s="104"/>
      <c r="L59" s="122"/>
    </row>
    <row r="60" spans="1:13" ht="12.75" customHeight="1" thickBot="1" x14ac:dyDescent="0.3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2"/>
      <c r="J60" s="122"/>
      <c r="K60" s="105"/>
      <c r="L60" s="105"/>
    </row>
    <row r="61" spans="1:13" ht="12.75" customHeight="1" x14ac:dyDescent="0.2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4"/>
      <c r="J61" s="104"/>
      <c r="K61" s="104"/>
      <c r="L61" s="104"/>
    </row>
    <row r="62" spans="1:13" ht="12.75" customHeight="1" x14ac:dyDescent="0.2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66</v>
      </c>
      <c r="F62" s="36"/>
      <c r="G62" s="36">
        <f>G61*0.018</f>
        <v>24.665939999999996</v>
      </c>
      <c r="H62" s="38">
        <f t="shared" si="3"/>
        <v>1394.9794000000002</v>
      </c>
      <c r="I62" s="122"/>
      <c r="J62" s="122"/>
      <c r="K62" s="122"/>
      <c r="L62" s="104"/>
    </row>
    <row r="63" spans="1:13" ht="12.75" customHeight="1" x14ac:dyDescent="0.25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2"/>
      <c r="J63" s="122"/>
      <c r="K63" s="105"/>
      <c r="L63" s="105"/>
    </row>
    <row r="64" spans="1:13" ht="12.75" customHeight="1" x14ac:dyDescent="0.2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2"/>
      <c r="J64" s="122"/>
      <c r="K64" s="122"/>
      <c r="L64" s="104"/>
    </row>
    <row r="65" spans="1:12" ht="12.75" customHeight="1" x14ac:dyDescent="0.2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66</v>
      </c>
      <c r="F65" s="36"/>
      <c r="G65" s="36">
        <f>G64*0.018</f>
        <v>24.665939999999996</v>
      </c>
      <c r="H65" s="38">
        <f t="shared" si="3"/>
        <v>1394.9753400000002</v>
      </c>
      <c r="I65" s="122"/>
      <c r="J65" s="122"/>
      <c r="K65" s="122"/>
      <c r="L65" s="104"/>
    </row>
    <row r="66" spans="1:12" ht="12.75" customHeight="1" x14ac:dyDescent="0.25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2"/>
      <c r="J66" s="122"/>
      <c r="K66" s="105"/>
      <c r="L66" s="105"/>
    </row>
    <row r="67" spans="1:12" ht="12.75" customHeight="1" x14ac:dyDescent="0.2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4"/>
      <c r="J67" s="104"/>
      <c r="K67" s="122"/>
      <c r="L67" s="104"/>
    </row>
    <row r="68" spans="1:12" ht="12.75" customHeight="1" x14ac:dyDescent="0.2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66</v>
      </c>
      <c r="F68" s="36"/>
      <c r="G68" s="36">
        <f>G67*0.018</f>
        <v>24.665939999999996</v>
      </c>
      <c r="H68" s="38">
        <f t="shared" si="3"/>
        <v>1394.9712800000002</v>
      </c>
      <c r="I68" s="105"/>
      <c r="J68" s="105"/>
      <c r="K68" s="159"/>
      <c r="L68" s="104"/>
    </row>
    <row r="69" spans="1:12" ht="12.75" customHeight="1" thickBot="1" x14ac:dyDescent="0.3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4"/>
      <c r="J69" s="104"/>
      <c r="K69" s="105"/>
      <c r="L69" s="105"/>
    </row>
    <row r="70" spans="1:12" ht="12.75" customHeight="1" x14ac:dyDescent="0.2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4"/>
      <c r="J70" s="104"/>
      <c r="K70" s="104"/>
      <c r="L70" s="104"/>
    </row>
    <row r="71" spans="1:12" ht="12.75" customHeight="1" x14ac:dyDescent="0.2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66</v>
      </c>
      <c r="F71" s="36"/>
      <c r="G71" s="36">
        <f>G70*0.018</f>
        <v>24.665939999999996</v>
      </c>
      <c r="H71" s="38">
        <f t="shared" si="3"/>
        <v>1394.9672200000002</v>
      </c>
      <c r="I71" s="122"/>
      <c r="J71" s="122"/>
      <c r="K71" s="122"/>
      <c r="L71" s="104"/>
    </row>
    <row r="72" spans="1:12" ht="12.75" customHeight="1" x14ac:dyDescent="0.25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4"/>
      <c r="J72" s="159"/>
      <c r="K72" s="122"/>
      <c r="L72" s="105"/>
    </row>
    <row r="73" spans="1:12" ht="12.75" customHeight="1" x14ac:dyDescent="0.2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8"/>
      <c r="J73" s="148"/>
      <c r="K73" s="159"/>
      <c r="L73" s="104"/>
    </row>
    <row r="74" spans="1:12" ht="12.75" customHeight="1" x14ac:dyDescent="0.2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66</v>
      </c>
      <c r="F74" s="36"/>
      <c r="G74" s="36">
        <f>G73*0.018</f>
        <v>24.665939999999996</v>
      </c>
      <c r="H74" s="38">
        <f t="shared" si="3"/>
        <v>1394.9631600000002</v>
      </c>
      <c r="I74" s="159"/>
      <c r="J74" s="105"/>
      <c r="K74" s="122"/>
      <c r="L74" s="104"/>
    </row>
    <row r="75" spans="1:12" ht="12.75" customHeight="1" x14ac:dyDescent="0.25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2"/>
      <c r="J75" s="122"/>
      <c r="K75" s="122"/>
      <c r="L75" s="105"/>
    </row>
    <row r="76" spans="1:12" ht="12.75" customHeight="1" x14ac:dyDescent="0.2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4"/>
      <c r="J76" s="104"/>
      <c r="K76" s="122"/>
      <c r="L76" s="104"/>
    </row>
    <row r="77" spans="1:12" ht="12.75" customHeight="1" x14ac:dyDescent="0.2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66</v>
      </c>
      <c r="F77" s="36"/>
      <c r="G77" s="36">
        <f>G76*0.018</f>
        <v>24.665939999999996</v>
      </c>
      <c r="H77" s="38">
        <f t="shared" si="3"/>
        <v>1394.9591000000003</v>
      </c>
      <c r="I77" s="105"/>
      <c r="J77" s="105"/>
      <c r="K77" s="122"/>
      <c r="L77" s="104"/>
    </row>
    <row r="78" spans="1:12" ht="12.75" customHeight="1" thickBot="1" x14ac:dyDescent="0.3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4"/>
      <c r="J78" s="104"/>
      <c r="K78" s="105"/>
      <c r="L78" s="105"/>
    </row>
    <row r="79" spans="1:12" ht="12.75" customHeight="1" x14ac:dyDescent="0.2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4"/>
      <c r="J79" s="104"/>
      <c r="K79" s="104"/>
      <c r="L79" s="104"/>
    </row>
    <row r="80" spans="1:12" ht="12.75" customHeight="1" x14ac:dyDescent="0.2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66</v>
      </c>
      <c r="F80" s="36"/>
      <c r="G80" s="84">
        <f>G79*0.018</f>
        <v>24.666011787819251</v>
      </c>
      <c r="H80" s="38">
        <f t="shared" si="3"/>
        <v>1394.9591000000003</v>
      </c>
      <c r="I80" s="122"/>
      <c r="J80" s="122"/>
      <c r="K80" s="122"/>
      <c r="L80" s="104"/>
    </row>
    <row r="81" spans="1:12" ht="12.75" customHeight="1" x14ac:dyDescent="0.25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2"/>
      <c r="J81" s="122"/>
      <c r="K81" s="105"/>
      <c r="L81" s="105"/>
    </row>
    <row r="82" spans="1:12" ht="12.75" customHeight="1" x14ac:dyDescent="0.2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2"/>
      <c r="J82" s="122"/>
      <c r="K82" s="122"/>
      <c r="L82" s="104"/>
    </row>
    <row r="83" spans="1:12" ht="12.75" customHeight="1" x14ac:dyDescent="0.2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66</v>
      </c>
      <c r="F83" s="36"/>
      <c r="G83" s="84">
        <f>G82*0.018</f>
        <v>24.666731787819248</v>
      </c>
      <c r="H83" s="38">
        <f t="shared" si="3"/>
        <v>1394.9998200000002</v>
      </c>
      <c r="I83" s="104"/>
      <c r="J83" s="159"/>
      <c r="K83" s="122"/>
      <c r="L83" s="104"/>
    </row>
    <row r="84" spans="1:12" ht="12.75" customHeight="1" x14ac:dyDescent="0.25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8"/>
      <c r="J84" s="148"/>
      <c r="K84" s="159"/>
      <c r="L84" s="105"/>
    </row>
    <row r="85" spans="1:12" ht="12.75" customHeight="1" x14ac:dyDescent="0.2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4"/>
      <c r="J85" s="104"/>
      <c r="K85" s="122"/>
      <c r="L85" s="104"/>
    </row>
    <row r="86" spans="1:12" ht="12.75" customHeight="1" x14ac:dyDescent="0.2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66</v>
      </c>
      <c r="F86" s="36"/>
      <c r="G86" s="84">
        <f>G85*0.018</f>
        <v>24.666011787819251</v>
      </c>
      <c r="H86" s="38">
        <f t="shared" si="3"/>
        <v>1394.9998200000002</v>
      </c>
      <c r="I86" s="105"/>
      <c r="J86" s="105"/>
      <c r="K86" s="105"/>
      <c r="L86" s="104"/>
    </row>
    <row r="87" spans="1:12" ht="12.75" customHeight="1" x14ac:dyDescent="0.25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78</v>
      </c>
      <c r="F87" s="84"/>
      <c r="G87" s="36"/>
      <c r="H87" s="38">
        <f t="shared" si="3"/>
        <v>1394.9998200000002</v>
      </c>
      <c r="I87" s="105"/>
      <c r="J87" s="105"/>
      <c r="K87" s="122"/>
      <c r="L87" s="104"/>
    </row>
    <row r="88" spans="1:12" ht="12.75" customHeight="1" thickBot="1" x14ac:dyDescent="0.3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4"/>
      <c r="J88" s="148"/>
      <c r="K88" s="105"/>
      <c r="L88" s="105"/>
    </row>
    <row r="89" spans="1:12" ht="12.75" customHeight="1" x14ac:dyDescent="0.2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4"/>
      <c r="J89" s="104"/>
      <c r="K89" s="104"/>
      <c r="L89" s="104"/>
    </row>
    <row r="90" spans="1:12" ht="12.75" customHeight="1" x14ac:dyDescent="0.2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66</v>
      </c>
      <c r="F90" s="36"/>
      <c r="G90" s="84">
        <f>G89*0.018</f>
        <v>24.666011787819251</v>
      </c>
      <c r="H90" s="38">
        <f t="shared" si="3"/>
        <v>1394.9998200000002</v>
      </c>
      <c r="I90" s="104"/>
      <c r="J90" s="104"/>
      <c r="K90" s="104"/>
      <c r="L90" s="104"/>
    </row>
    <row r="91" spans="1:12" ht="12.75" customHeight="1" x14ac:dyDescent="0.25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4"/>
      <c r="J91" s="104"/>
      <c r="K91" s="105"/>
      <c r="L91" s="105"/>
    </row>
    <row r="92" spans="1:12" ht="12.75" customHeight="1" x14ac:dyDescent="0.2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4"/>
      <c r="J92" s="104"/>
      <c r="K92" s="104"/>
      <c r="L92" s="104"/>
    </row>
    <row r="93" spans="1:12" ht="12.75" customHeight="1" x14ac:dyDescent="0.2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66</v>
      </c>
      <c r="F93" s="36"/>
      <c r="G93" s="84">
        <f>G92*0.018</f>
        <v>24.666011787819251</v>
      </c>
      <c r="H93" s="38">
        <f t="shared" si="3"/>
        <v>1394.9998200000002</v>
      </c>
      <c r="I93" s="104"/>
      <c r="J93" s="104"/>
      <c r="K93" s="104"/>
      <c r="L93" s="104"/>
    </row>
    <row r="94" spans="1:12" ht="12.75" customHeight="1" x14ac:dyDescent="0.25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8"/>
      <c r="J94" s="148"/>
      <c r="K94" s="104"/>
      <c r="L94" s="105"/>
    </row>
    <row r="95" spans="1:12" ht="12.75" customHeight="1" x14ac:dyDescent="0.2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4"/>
      <c r="J95" s="104"/>
      <c r="K95" s="104"/>
      <c r="L95" s="104"/>
    </row>
    <row r="96" spans="1:12" ht="12.75" customHeight="1" x14ac:dyDescent="0.2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66</v>
      </c>
      <c r="F96" s="36"/>
      <c r="G96" s="84">
        <f>G95*0.018</f>
        <v>24.666011787819251</v>
      </c>
      <c r="H96" s="38">
        <f t="shared" si="3"/>
        <v>1394.9998200000002</v>
      </c>
      <c r="I96" s="105"/>
      <c r="J96" s="105"/>
      <c r="K96" s="104"/>
      <c r="L96" s="104"/>
    </row>
    <row r="97" spans="1:12" ht="12.75" customHeight="1" thickBot="1" x14ac:dyDescent="0.3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4"/>
      <c r="J97" s="104"/>
      <c r="K97" s="104"/>
      <c r="L97" s="104"/>
    </row>
    <row r="98" spans="1:12" ht="12.75" customHeight="1" x14ac:dyDescent="0.2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4"/>
      <c r="J98" s="104"/>
      <c r="K98" s="104"/>
      <c r="L98" s="104"/>
    </row>
    <row r="99" spans="1:12" ht="12.75" customHeight="1" x14ac:dyDescent="0.2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66</v>
      </c>
      <c r="F99" s="36"/>
      <c r="G99" s="84">
        <f>G98*0.018</f>
        <v>24.666011787819251</v>
      </c>
      <c r="H99" s="38">
        <f t="shared" si="3"/>
        <v>1394.9998200000002</v>
      </c>
      <c r="I99" s="104"/>
      <c r="J99" s="104"/>
      <c r="K99" s="104"/>
      <c r="L99" s="104"/>
    </row>
    <row r="100" spans="1:12" ht="12.75" customHeight="1" x14ac:dyDescent="0.25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4"/>
      <c r="J100" s="104"/>
      <c r="K100" s="105"/>
      <c r="L100" s="105"/>
    </row>
    <row r="101" spans="1:12" ht="12.75" customHeight="1" x14ac:dyDescent="0.2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4"/>
      <c r="J101" s="104"/>
      <c r="K101" s="104"/>
      <c r="L101" s="104"/>
    </row>
    <row r="102" spans="1:12" ht="12.75" customHeight="1" x14ac:dyDescent="0.2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66</v>
      </c>
      <c r="F102" s="36"/>
      <c r="G102" s="84">
        <f>G101*0.018</f>
        <v>24.666011787819251</v>
      </c>
      <c r="H102" s="38">
        <f t="shared" si="3"/>
        <v>1394.9998200000002</v>
      </c>
      <c r="I102" s="104"/>
      <c r="J102" s="104"/>
      <c r="K102" s="104"/>
      <c r="L102" s="104"/>
    </row>
    <row r="103" spans="1:12" ht="12.75" customHeight="1" x14ac:dyDescent="0.25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5"/>
      <c r="J103" s="105"/>
      <c r="K103" s="105"/>
      <c r="L103" s="104"/>
    </row>
    <row r="104" spans="1:12" ht="12.75" customHeight="1" x14ac:dyDescent="0.2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4"/>
      <c r="J104" s="104"/>
      <c r="K104" s="104"/>
      <c r="L104" s="104"/>
    </row>
    <row r="105" spans="1:12" ht="12.75" customHeight="1" x14ac:dyDescent="0.2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4"/>
      <c r="J105" s="104"/>
      <c r="K105" s="104"/>
      <c r="L105" s="104"/>
    </row>
    <row r="106" spans="1:12" ht="12.75" customHeight="1" x14ac:dyDescent="0.2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66</v>
      </c>
      <c r="F106" s="36"/>
      <c r="G106" s="84">
        <f>G105*0.018</f>
        <v>24.666011787819251</v>
      </c>
      <c r="H106" s="38">
        <f t="shared" si="3"/>
        <v>1394.9998200000002</v>
      </c>
      <c r="I106" s="104"/>
      <c r="J106" s="104"/>
      <c r="K106" s="104"/>
      <c r="L106" s="104"/>
    </row>
    <row r="107" spans="1:12" ht="12.75" customHeight="1" thickBot="1" x14ac:dyDescent="0.3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4"/>
      <c r="J107" s="104"/>
      <c r="K107" s="104"/>
      <c r="L107" s="104"/>
    </row>
    <row r="108" spans="1:12" ht="12.75" customHeight="1" x14ac:dyDescent="0.2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4"/>
      <c r="J108" s="159"/>
      <c r="K108" s="105"/>
      <c r="L108" s="104"/>
    </row>
    <row r="109" spans="1:12" ht="12.75" customHeight="1" x14ac:dyDescent="0.2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66</v>
      </c>
      <c r="F109" s="36"/>
      <c r="G109" s="84">
        <f>G108*0.018</f>
        <v>24.666011787819251</v>
      </c>
      <c r="H109" s="38">
        <f t="shared" si="3"/>
        <v>1394.9998200000002</v>
      </c>
      <c r="I109" s="148"/>
      <c r="J109" s="148"/>
      <c r="K109" s="105"/>
      <c r="L109" s="104"/>
    </row>
    <row r="110" spans="1:12" ht="12.75" customHeight="1" x14ac:dyDescent="0.25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4"/>
      <c r="J110" s="104"/>
      <c r="K110" s="104"/>
      <c r="L110" s="104"/>
    </row>
    <row r="111" spans="1:12" ht="12.75" customHeight="1" x14ac:dyDescent="0.2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5"/>
      <c r="J111" s="104"/>
      <c r="K111" s="104"/>
      <c r="L111" s="104"/>
    </row>
    <row r="112" spans="1:12" ht="12.75" customHeight="1" x14ac:dyDescent="0.2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66</v>
      </c>
      <c r="F112" s="36"/>
      <c r="G112" s="84">
        <f>G111*0.018</f>
        <v>24.666011787819251</v>
      </c>
      <c r="H112" s="38">
        <f t="shared" si="3"/>
        <v>1394.9998200000002</v>
      </c>
      <c r="I112" s="104"/>
      <c r="J112" s="104"/>
      <c r="K112" s="104"/>
      <c r="L112" s="104"/>
    </row>
    <row r="113" spans="1:14" ht="12.75" customHeight="1" x14ac:dyDescent="0.25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5"/>
      <c r="J113" s="105"/>
      <c r="K113" s="104"/>
      <c r="L113" s="104"/>
    </row>
    <row r="114" spans="1:14" ht="12.75" customHeight="1" x14ac:dyDescent="0.2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4"/>
      <c r="J114" s="104"/>
      <c r="K114" s="104"/>
      <c r="L114" s="104"/>
    </row>
    <row r="115" spans="1:14" ht="12.75" customHeight="1" x14ac:dyDescent="0.2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66</v>
      </c>
      <c r="F115" s="36"/>
      <c r="G115" s="84">
        <f>G114*0.018</f>
        <v>24.666011787819251</v>
      </c>
      <c r="H115" s="38">
        <f t="shared" si="3"/>
        <v>1394.9998200000002</v>
      </c>
      <c r="I115" s="104"/>
      <c r="J115" s="104"/>
      <c r="K115" s="104"/>
      <c r="L115" s="104"/>
    </row>
    <row r="116" spans="1:14" ht="12.75" customHeight="1" thickBot="1" x14ac:dyDescent="0.3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4"/>
      <c r="J116" s="104"/>
      <c r="K116" s="104"/>
      <c r="L116" s="104"/>
    </row>
    <row r="117" spans="1:14" ht="12.75" customHeight="1" x14ac:dyDescent="0.25">
      <c r="A117" s="37"/>
      <c r="B117" s="37"/>
      <c r="C117" s="37" t="str">
        <f t="shared" si="2"/>
        <v/>
      </c>
      <c r="D117" s="53">
        <v>43816</v>
      </c>
      <c r="E117" s="2" t="s">
        <v>54</v>
      </c>
      <c r="F117" s="54">
        <v>1850</v>
      </c>
      <c r="G117" s="54">
        <v>1260</v>
      </c>
      <c r="H117" s="54">
        <f>F117-G117</f>
        <v>590</v>
      </c>
      <c r="I117" s="29"/>
      <c r="J117" s="29"/>
      <c r="K117" s="29"/>
      <c r="L117" s="29"/>
    </row>
    <row r="118" spans="1:14" ht="12.75" customHeight="1" x14ac:dyDescent="0.2">
      <c r="A118" s="55"/>
      <c r="B118" s="55"/>
      <c r="C118" s="55" t="str">
        <f t="shared" si="2"/>
        <v/>
      </c>
      <c r="D118" s="55"/>
      <c r="E118" s="55" t="s">
        <v>55</v>
      </c>
      <c r="F118" s="56"/>
      <c r="G118" s="56"/>
      <c r="H118" s="56"/>
      <c r="I118" s="30"/>
    </row>
    <row r="119" spans="1:14" ht="12.75" customHeight="1" thickBot="1" x14ac:dyDescent="0.25">
      <c r="A119" s="163" t="s">
        <v>124</v>
      </c>
      <c r="C119" s="163" t="s">
        <v>131</v>
      </c>
    </row>
    <row r="120" spans="1:14" ht="12.75" customHeight="1" x14ac:dyDescent="0.25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79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25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80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25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25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81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66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25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66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66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25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66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25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66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66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25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66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25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66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66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25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66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25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66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66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25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66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25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66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25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25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25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25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25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25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25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">
      <c r="A187" s="81">
        <f t="shared" si="4"/>
        <v>3</v>
      </c>
      <c r="B187" s="102">
        <f t="shared" si="5"/>
        <v>2022</v>
      </c>
      <c r="C187" s="102" t="str">
        <f t="shared" si="2"/>
        <v>Income: 1</v>
      </c>
      <c r="D187" s="133">
        <v>44621</v>
      </c>
      <c r="E187" s="134" t="s">
        <v>51</v>
      </c>
      <c r="F187" s="105">
        <v>1975</v>
      </c>
      <c r="G187" s="105"/>
      <c r="H187" s="107">
        <f t="shared" si="6"/>
        <v>-2.9499999986910552E-3</v>
      </c>
    </row>
    <row r="188" spans="1:8" ht="12.75" customHeight="1" x14ac:dyDescent="0.2">
      <c r="A188" s="109">
        <f t="shared" si="4"/>
        <v>4</v>
      </c>
      <c r="B188" s="110">
        <f t="shared" si="5"/>
        <v>2022</v>
      </c>
      <c r="C188" s="110" t="str">
        <f t="shared" si="2"/>
        <v>Rent: 1</v>
      </c>
      <c r="D188" s="111" t="str">
        <f>MONTH(D187)+1 &amp; "/1/" &amp; YEAR(D187)</f>
        <v>4/1/2022</v>
      </c>
      <c r="E188" s="112" t="str">
        <f>"Rent: "&amp;LOOKUP(A188-1, Months, TextMonths)&amp;" '"&amp;B188</f>
        <v>Rent: Apr '2022</v>
      </c>
      <c r="F188" s="113"/>
      <c r="G188" s="114">
        <v>1975</v>
      </c>
      <c r="H188" s="115">
        <f t="shared" si="6"/>
        <v>1974.9970500000013</v>
      </c>
    </row>
    <row r="189" spans="1:8" ht="12.75" customHeight="1" x14ac:dyDescent="0.25">
      <c r="A189" s="118">
        <f t="shared" si="4"/>
        <v>4</v>
      </c>
      <c r="B189" s="102">
        <f t="shared" si="5"/>
        <v>2022</v>
      </c>
      <c r="C189" s="102" t="str">
        <f t="shared" si="2"/>
        <v>Income: 1</v>
      </c>
      <c r="D189" s="133">
        <v>44652</v>
      </c>
      <c r="E189" s="134" t="s">
        <v>51</v>
      </c>
      <c r="F189" s="105">
        <v>1975</v>
      </c>
      <c r="G189" s="105"/>
      <c r="H189" s="107">
        <f t="shared" si="6"/>
        <v>-2.9499999986910552E-3</v>
      </c>
    </row>
    <row r="190" spans="1:8" ht="12.75" customHeight="1" x14ac:dyDescent="0.2">
      <c r="A190" s="118">
        <f t="shared" si="4"/>
        <v>5</v>
      </c>
      <c r="B190" s="102">
        <f t="shared" si="5"/>
        <v>2022</v>
      </c>
      <c r="C190" s="102" t="str">
        <f t="shared" si="2"/>
        <v>Rent: 1</v>
      </c>
      <c r="D190" s="120" t="str">
        <f>MONTH(D189)+1 &amp; "/1/" &amp; YEAR(D189)</f>
        <v>5/1/2022</v>
      </c>
      <c r="E190" s="121" t="str">
        <f>"Rent: "&amp;LOOKUP(A190-1, Months, TextMonths)&amp;" '"&amp;B190</f>
        <v>Rent: May '2022</v>
      </c>
      <c r="F190" s="105"/>
      <c r="G190" s="106">
        <v>1975</v>
      </c>
      <c r="H190" s="107">
        <f t="shared" si="6"/>
        <v>1974.9970500000013</v>
      </c>
    </row>
    <row r="191" spans="1:8" ht="12.75" customHeight="1" x14ac:dyDescent="0.25">
      <c r="A191" s="118">
        <f t="shared" si="4"/>
        <v>5</v>
      </c>
      <c r="B191" s="102">
        <f t="shared" si="5"/>
        <v>2022</v>
      </c>
      <c r="C191" s="102" t="str">
        <f t="shared" si="2"/>
        <v>Income: 1</v>
      </c>
      <c r="D191" s="133">
        <v>44682</v>
      </c>
      <c r="E191" s="134" t="s">
        <v>51</v>
      </c>
      <c r="F191" s="105">
        <v>1975</v>
      </c>
      <c r="G191" s="105"/>
      <c r="H191" s="107">
        <f t="shared" si="6"/>
        <v>-2.9499999986910552E-3</v>
      </c>
    </row>
    <row r="192" spans="1:8" ht="12.75" customHeight="1" x14ac:dyDescent="0.2">
      <c r="A192" s="118">
        <f t="shared" si="4"/>
        <v>6</v>
      </c>
      <c r="B192" s="102">
        <f t="shared" si="5"/>
        <v>2022</v>
      </c>
      <c r="C192" s="102" t="str">
        <f t="shared" si="2"/>
        <v>Rent: 1</v>
      </c>
      <c r="D192" s="120" t="str">
        <f>MONTH(D191)+1 &amp; "/1/" &amp; YEAR(D191)</f>
        <v>6/1/2022</v>
      </c>
      <c r="E192" s="121" t="str">
        <f>"Rent: "&amp;LOOKUP(A192-1, Months, TextMonths)&amp;" '"&amp;B192</f>
        <v>Rent: Jun '2022</v>
      </c>
      <c r="F192" s="105"/>
      <c r="G192" s="106">
        <v>1975</v>
      </c>
      <c r="H192" s="107">
        <f t="shared" si="6"/>
        <v>1974.9970500000013</v>
      </c>
    </row>
    <row r="193" spans="1:12" ht="12.75" customHeight="1" thickBot="1" x14ac:dyDescent="0.3">
      <c r="A193" s="124">
        <f t="shared" si="4"/>
        <v>6</v>
      </c>
      <c r="B193" s="125">
        <f t="shared" si="5"/>
        <v>2022</v>
      </c>
      <c r="C193" s="125" t="str">
        <f t="shared" si="2"/>
        <v>Income: 1</v>
      </c>
      <c r="D193" s="137">
        <v>44713</v>
      </c>
      <c r="E193" s="138" t="s">
        <v>51</v>
      </c>
      <c r="F193" s="128">
        <v>1975</v>
      </c>
      <c r="G193" s="128"/>
      <c r="H193" s="130">
        <f t="shared" si="6"/>
        <v>-2.9499999986910552E-3</v>
      </c>
    </row>
    <row r="194" spans="1:12" ht="12.75" customHeight="1" x14ac:dyDescent="0.2">
      <c r="A194" s="109">
        <f t="shared" ref="A194:A197" si="7">MONTH(D194)</f>
        <v>7</v>
      </c>
      <c r="B194" s="110">
        <f t="shared" ref="B194:B197" si="8">YEAR(D194)</f>
        <v>2022</v>
      </c>
      <c r="C194" s="110" t="str">
        <f t="shared" ref="C194:C197" si="9">IFERROR("Rent: "&amp;FIND("Rent",E194),IFERROR("Priv Tax: "&amp;FIND("Tax",E194), IFERROR("Income: "&amp;FIND("Payment",E194,1),"")))</f>
        <v>Rent: 1</v>
      </c>
      <c r="D194" s="111" t="str">
        <f>MONTH(D193)+1 &amp; "/1/" &amp; YEAR(D193)</f>
        <v>7/1/2022</v>
      </c>
      <c r="E194" s="112" t="str">
        <f>"Rent: "&amp;LOOKUP(A194-1, Months, TextMonths)&amp;" '"&amp;B194</f>
        <v>Rent: Jul '2022</v>
      </c>
      <c r="F194" s="113"/>
      <c r="G194" s="114">
        <v>1975</v>
      </c>
      <c r="H194" s="115">
        <f t="shared" ref="H194:H197" si="10">H193+G194-F194</f>
        <v>1974.9970500000013</v>
      </c>
    </row>
    <row r="195" spans="1:12" ht="12.75" customHeight="1" x14ac:dyDescent="0.25">
      <c r="A195" s="118">
        <f t="shared" si="7"/>
        <v>7</v>
      </c>
      <c r="B195" s="102">
        <f t="shared" si="8"/>
        <v>2022</v>
      </c>
      <c r="C195" s="102" t="str">
        <f t="shared" si="9"/>
        <v>Income: 1</v>
      </c>
      <c r="D195" s="133">
        <v>44743</v>
      </c>
      <c r="E195" s="134" t="s">
        <v>51</v>
      </c>
      <c r="F195" s="105">
        <v>1975</v>
      </c>
      <c r="G195" s="105"/>
      <c r="H195" s="107">
        <f t="shared" si="10"/>
        <v>-2.9499999986910552E-3</v>
      </c>
    </row>
    <row r="196" spans="1:12" ht="12.75" customHeight="1" x14ac:dyDescent="0.2">
      <c r="A196" s="118">
        <f t="shared" si="7"/>
        <v>8</v>
      </c>
      <c r="B196" s="102">
        <f t="shared" si="8"/>
        <v>2022</v>
      </c>
      <c r="C196" s="102" t="str">
        <f t="shared" si="9"/>
        <v>Rent: 1</v>
      </c>
      <c r="D196" s="120" t="str">
        <f>MONTH(D195)+1 &amp; "/1/" &amp; YEAR(D195)</f>
        <v>8/1/2022</v>
      </c>
      <c r="E196" s="121" t="str">
        <f>"Rent: "&amp;LOOKUP(A196-1, Months, TextMonths)&amp;" '"&amp;B196</f>
        <v>Rent: Aug '2022</v>
      </c>
      <c r="F196" s="105"/>
      <c r="G196" s="106">
        <v>2125</v>
      </c>
      <c r="H196" s="107">
        <f t="shared" si="10"/>
        <v>2124.9970500000013</v>
      </c>
    </row>
    <row r="197" spans="1:12" ht="12.75" customHeight="1" x14ac:dyDescent="0.25">
      <c r="A197" s="118">
        <f t="shared" si="7"/>
        <v>8</v>
      </c>
      <c r="B197" s="102">
        <f t="shared" si="8"/>
        <v>2022</v>
      </c>
      <c r="C197" s="102" t="str">
        <f t="shared" si="9"/>
        <v>Income: 1</v>
      </c>
      <c r="D197" s="133">
        <v>44775</v>
      </c>
      <c r="E197" s="134" t="s">
        <v>51</v>
      </c>
      <c r="F197" s="105">
        <v>2125</v>
      </c>
      <c r="G197" s="105"/>
      <c r="H197" s="107">
        <f t="shared" si="10"/>
        <v>-2.9499999986910552E-3</v>
      </c>
    </row>
    <row r="198" spans="1:12" ht="12.75" customHeight="1" x14ac:dyDescent="0.2">
      <c r="A198" s="118">
        <f t="shared" ref="A198:A203" si="11">MONTH(D198)</f>
        <v>9</v>
      </c>
      <c r="B198" s="102">
        <f t="shared" ref="B198:B203" si="12">YEAR(D198)</f>
        <v>2022</v>
      </c>
      <c r="C198" s="102" t="str">
        <f t="shared" ref="C198:C203" si="13">IFERROR("Rent: "&amp;FIND("Rent",E198),IFERROR("Priv Tax: "&amp;FIND("Tax",E198), IFERROR("Income: "&amp;FIND("Payment",E198,1),"")))</f>
        <v>Rent: 1</v>
      </c>
      <c r="D198" s="120" t="str">
        <f>MONTH(D197)+1 &amp; "/1/" &amp; YEAR(D197)</f>
        <v>9/1/2022</v>
      </c>
      <c r="E198" s="121" t="str">
        <f>"Rent: "&amp;LOOKUP(A198-1, Months, TextMonths)&amp;" '"&amp;B198</f>
        <v>Rent: Sep '2022</v>
      </c>
      <c r="F198" s="105"/>
      <c r="G198" s="106">
        <v>2125</v>
      </c>
      <c r="H198" s="107">
        <f t="shared" ref="H198:H203" si="14">H197+G198-F198</f>
        <v>2124.9970500000013</v>
      </c>
    </row>
    <row r="199" spans="1:12" ht="12.75" customHeight="1" thickBot="1" x14ac:dyDescent="0.3">
      <c r="A199" s="124">
        <f t="shared" si="11"/>
        <v>9</v>
      </c>
      <c r="B199" s="125">
        <f t="shared" si="12"/>
        <v>2022</v>
      </c>
      <c r="C199" s="125" t="str">
        <f t="shared" si="13"/>
        <v>Income: 1</v>
      </c>
      <c r="D199" s="137">
        <v>44805</v>
      </c>
      <c r="E199" s="138" t="s">
        <v>51</v>
      </c>
      <c r="F199" s="128">
        <v>2125</v>
      </c>
      <c r="G199" s="128"/>
      <c r="H199" s="130">
        <f t="shared" si="14"/>
        <v>-2.9499999986910552E-3</v>
      </c>
    </row>
    <row r="200" spans="1:12" ht="12.75" customHeight="1" x14ac:dyDescent="0.2">
      <c r="A200" s="109">
        <f t="shared" si="11"/>
        <v>10</v>
      </c>
      <c r="B200" s="110">
        <f t="shared" si="12"/>
        <v>2022</v>
      </c>
      <c r="C200" s="110" t="str">
        <f t="shared" si="13"/>
        <v>Rent: 1</v>
      </c>
      <c r="D200" s="111" t="str">
        <f>MONTH(D199)+1 &amp; "/1/" &amp; YEAR(D199)</f>
        <v>10/1/2022</v>
      </c>
      <c r="E200" s="112" t="str">
        <f>"Rent: "&amp;LOOKUP(A200-1, Months, TextMonths)&amp;" '"&amp;B200</f>
        <v>Rent: Oct '2022</v>
      </c>
      <c r="F200" s="113"/>
      <c r="G200" s="114">
        <v>2125</v>
      </c>
      <c r="H200" s="115">
        <f t="shared" si="14"/>
        <v>2124.9970500000013</v>
      </c>
    </row>
    <row r="201" spans="1:12" ht="12.75" customHeight="1" x14ac:dyDescent="0.25">
      <c r="A201" s="118">
        <f t="shared" si="11"/>
        <v>10</v>
      </c>
      <c r="B201" s="102">
        <f t="shared" si="12"/>
        <v>2022</v>
      </c>
      <c r="C201" s="102" t="str">
        <f t="shared" si="13"/>
        <v>Income: 1</v>
      </c>
      <c r="D201" s="133">
        <v>44835</v>
      </c>
      <c r="E201" s="134" t="s">
        <v>51</v>
      </c>
      <c r="F201" s="105">
        <v>2125</v>
      </c>
      <c r="G201" s="105"/>
      <c r="H201" s="107">
        <f t="shared" si="14"/>
        <v>-2.9499999986910552E-3</v>
      </c>
    </row>
    <row r="202" spans="1:12" ht="12.75" customHeight="1" x14ac:dyDescent="0.2">
      <c r="A202" s="118">
        <f t="shared" si="11"/>
        <v>11</v>
      </c>
      <c r="B202" s="102">
        <f t="shared" si="12"/>
        <v>2022</v>
      </c>
      <c r="C202" s="102" t="str">
        <f t="shared" si="13"/>
        <v>Rent: 1</v>
      </c>
      <c r="D202" s="120" t="str">
        <f>MONTH(D201)+1 &amp; "/1/" &amp; YEAR(D201)</f>
        <v>11/1/2022</v>
      </c>
      <c r="E202" s="121" t="str">
        <f>"Rent: "&amp;LOOKUP(A202-1, Months, TextMonths)&amp;" '"&amp;B202</f>
        <v>Rent: Nov '2022</v>
      </c>
      <c r="F202" s="105"/>
      <c r="G202" s="106">
        <v>2125</v>
      </c>
      <c r="H202" s="107">
        <f t="shared" si="14"/>
        <v>2124.9970500000013</v>
      </c>
    </row>
    <row r="203" spans="1:12" ht="12.75" customHeight="1" x14ac:dyDescent="0.25">
      <c r="A203" s="118">
        <f t="shared" si="11"/>
        <v>11</v>
      </c>
      <c r="B203" s="102">
        <f t="shared" si="12"/>
        <v>2022</v>
      </c>
      <c r="C203" s="102" t="str">
        <f t="shared" si="13"/>
        <v>Income: 1</v>
      </c>
      <c r="D203" s="133">
        <v>44866</v>
      </c>
      <c r="E203" s="134" t="s">
        <v>51</v>
      </c>
      <c r="F203" s="105">
        <v>2125</v>
      </c>
      <c r="G203" s="105"/>
      <c r="H203" s="107">
        <f t="shared" si="14"/>
        <v>-2.9499999986910552E-3</v>
      </c>
    </row>
    <row r="204" spans="1:12" ht="12.75" customHeight="1" x14ac:dyDescent="0.2">
      <c r="A204" s="118">
        <f t="shared" ref="A204:A205" si="15">MONTH(D204)</f>
        <v>12</v>
      </c>
      <c r="B204" s="102">
        <f t="shared" ref="B204:B205" si="16">YEAR(D204)</f>
        <v>2022</v>
      </c>
      <c r="C204" s="102" t="str">
        <f t="shared" ref="C204:C205" si="17">IFERROR("Rent: "&amp;FIND("Rent",E204),IFERROR("Priv Tax: "&amp;FIND("Tax",E204), IFERROR("Income: "&amp;FIND("Payment",E204,1),"")))</f>
        <v>Rent: 1</v>
      </c>
      <c r="D204" s="120" t="str">
        <f>MONTH(D203)+1 &amp; "/1/" &amp; YEAR(D203)</f>
        <v>12/1/2022</v>
      </c>
      <c r="E204" s="121" t="str">
        <f>"Rent: "&amp;LOOKUP(A204-1, Months, TextMonths)&amp;" '"&amp;B204</f>
        <v>Rent: Dec '2022</v>
      </c>
      <c r="F204" s="105"/>
      <c r="G204" s="106">
        <v>2125</v>
      </c>
      <c r="H204" s="107">
        <f t="shared" ref="H204:H205" si="18">H203+G204-F204</f>
        <v>2124.9970500000013</v>
      </c>
    </row>
    <row r="205" spans="1:12" ht="12.75" customHeight="1" thickBot="1" x14ac:dyDescent="0.3">
      <c r="A205" s="124">
        <f t="shared" si="15"/>
        <v>12</v>
      </c>
      <c r="B205" s="125">
        <f t="shared" si="16"/>
        <v>2022</v>
      </c>
      <c r="C205" s="125" t="str">
        <f t="shared" si="17"/>
        <v>Income: 1</v>
      </c>
      <c r="D205" s="137">
        <v>44897</v>
      </c>
      <c r="E205" s="138" t="s">
        <v>51</v>
      </c>
      <c r="F205" s="128">
        <v>2125</v>
      </c>
      <c r="G205" s="128"/>
      <c r="H205" s="130">
        <f t="shared" si="18"/>
        <v>-2.9499999986910552E-3</v>
      </c>
    </row>
    <row r="206" spans="1:12" ht="12.75" customHeight="1" x14ac:dyDescent="0.2">
      <c r="A206" s="118">
        <f t="shared" ref="A206:A223" si="19">MONTH(D206)</f>
        <v>1</v>
      </c>
      <c r="B206" s="102">
        <f t="shared" ref="B206:B223" si="20">YEAR(D206)</f>
        <v>2023</v>
      </c>
      <c r="C206" s="102" t="str">
        <f t="shared" ref="C206:C223" si="21">IFERROR("Rent: "&amp;FIND("Rent",E206),IFERROR("Priv Tax: "&amp;FIND("Tax",E206), IFERROR("Income: "&amp;FIND("Payment",E206,1),"")))</f>
        <v>Rent: 1</v>
      </c>
      <c r="D206" s="120">
        <v>44927</v>
      </c>
      <c r="E206" s="121" t="str">
        <f>"Rent: "&amp;LOOKUP(A206-1, Months, TextMonths)&amp;" '"&amp;B206</f>
        <v>Rent: Jan '2023</v>
      </c>
      <c r="F206" s="105"/>
      <c r="G206" s="106">
        <v>2125</v>
      </c>
      <c r="H206" s="107">
        <f t="shared" ref="H206:H223" si="22">H205+G206-F206</f>
        <v>2124.9970500000013</v>
      </c>
    </row>
    <row r="207" spans="1:12" ht="12.75" customHeight="1" x14ac:dyDescent="0.25">
      <c r="A207" s="118">
        <f t="shared" si="19"/>
        <v>1</v>
      </c>
      <c r="B207" s="102">
        <f t="shared" si="20"/>
        <v>2023</v>
      </c>
      <c r="C207" s="102" t="str">
        <f t="shared" si="21"/>
        <v>Income: 1</v>
      </c>
      <c r="D207" s="133">
        <v>44927</v>
      </c>
      <c r="E207" s="134" t="s">
        <v>51</v>
      </c>
      <c r="F207" s="105">
        <v>2125</v>
      </c>
      <c r="G207" s="105"/>
      <c r="H207" s="107">
        <f t="shared" si="22"/>
        <v>-2.9499999986910552E-3</v>
      </c>
    </row>
    <row r="208" spans="1:12" ht="12.75" customHeight="1" x14ac:dyDescent="0.2">
      <c r="A208" s="209">
        <f t="shared" si="19"/>
        <v>2</v>
      </c>
      <c r="B208" s="199">
        <f t="shared" si="20"/>
        <v>2023</v>
      </c>
      <c r="C208" s="199" t="str">
        <f t="shared" si="21"/>
        <v>Rent: 1</v>
      </c>
      <c r="D208" s="203" t="str">
        <f>MONTH(D207)+1 &amp; "/1/" &amp; YEAR(D207)</f>
        <v>2/1/2023</v>
      </c>
      <c r="E208" s="204" t="str">
        <f>"Rent: "&amp;LOOKUP(A208-1, Months, TextMonths)&amp;" '"&amp;B208</f>
        <v>Rent: Feb '2023</v>
      </c>
      <c r="F208" s="210"/>
      <c r="G208" s="211">
        <v>2125</v>
      </c>
      <c r="H208" s="208">
        <f t="shared" si="22"/>
        <v>2124.9970500000013</v>
      </c>
      <c r="I208" s="212"/>
      <c r="J208" s="122"/>
      <c r="K208" s="122"/>
      <c r="L208" s="123"/>
    </row>
    <row r="209" spans="1:12" ht="12.75" customHeight="1" x14ac:dyDescent="0.25">
      <c r="A209" s="209">
        <f t="shared" si="19"/>
        <v>2</v>
      </c>
      <c r="B209" s="199">
        <f t="shared" si="20"/>
        <v>2023</v>
      </c>
      <c r="C209" s="199" t="str">
        <f t="shared" si="21"/>
        <v>Income: 1</v>
      </c>
      <c r="D209" s="213">
        <v>44959</v>
      </c>
      <c r="E209" s="214" t="s">
        <v>51</v>
      </c>
      <c r="F209" s="210">
        <v>2125</v>
      </c>
      <c r="G209" s="210"/>
      <c r="H209" s="208">
        <f t="shared" si="22"/>
        <v>-2.9499999986910552E-3</v>
      </c>
      <c r="I209" s="122"/>
      <c r="J209" s="122"/>
      <c r="K209" s="122"/>
      <c r="L209" s="123"/>
    </row>
    <row r="210" spans="1:12" ht="12.75" customHeight="1" x14ac:dyDescent="0.2">
      <c r="A210" s="209">
        <f t="shared" si="19"/>
        <v>3</v>
      </c>
      <c r="B210" s="199">
        <f t="shared" si="20"/>
        <v>2023</v>
      </c>
      <c r="C210" s="199" t="str">
        <f t="shared" si="21"/>
        <v>Rent: 1</v>
      </c>
      <c r="D210" s="203" t="str">
        <f>MONTH(D209)+1 &amp; "/1/" &amp; YEAR(D209)</f>
        <v>3/1/2023</v>
      </c>
      <c r="E210" s="204" t="str">
        <f>"Rent: "&amp;LOOKUP(A210-1, Months, TextMonths)&amp;" '"&amp;B210</f>
        <v>Rent: Mar '2023</v>
      </c>
      <c r="F210" s="210"/>
      <c r="G210" s="211">
        <v>2125</v>
      </c>
      <c r="H210" s="208">
        <f t="shared" si="22"/>
        <v>2124.9970500000013</v>
      </c>
      <c r="I210" s="215"/>
      <c r="J210" s="215"/>
      <c r="K210" s="170"/>
      <c r="L210" s="123"/>
    </row>
    <row r="211" spans="1:12" ht="12.75" customHeight="1" thickBot="1" x14ac:dyDescent="0.3">
      <c r="A211" s="216">
        <f t="shared" si="19"/>
        <v>3</v>
      </c>
      <c r="B211" s="217">
        <f t="shared" si="20"/>
        <v>2023</v>
      </c>
      <c r="C211" s="217" t="str">
        <f t="shared" si="21"/>
        <v>Income: 1</v>
      </c>
      <c r="D211" s="218">
        <v>44987</v>
      </c>
      <c r="E211" s="219" t="s">
        <v>51</v>
      </c>
      <c r="F211" s="220">
        <v>2125</v>
      </c>
      <c r="G211" s="220"/>
      <c r="H211" s="221">
        <f t="shared" si="22"/>
        <v>-2.9499999986910552E-3</v>
      </c>
      <c r="I211" s="220"/>
      <c r="J211" s="220"/>
      <c r="K211" s="139"/>
      <c r="L211" s="140"/>
    </row>
    <row r="212" spans="1:12" ht="12.75" customHeight="1" x14ac:dyDescent="0.2">
      <c r="A212" s="80">
        <f t="shared" si="19"/>
        <v>4</v>
      </c>
      <c r="B212" s="42">
        <f t="shared" si="20"/>
        <v>2023</v>
      </c>
      <c r="C212" s="42" t="str">
        <f t="shared" si="21"/>
        <v>Rent: 1</v>
      </c>
      <c r="D212" s="43" t="str">
        <f>MONTH(D211)+1 &amp; "/1/" &amp; YEAR(D211)</f>
        <v>4/1/2023</v>
      </c>
      <c r="E212" s="44" t="str">
        <f>"Rent: "&amp;LOOKUP(A212-1, Months, TextMonths)&amp;" '"&amp;B212</f>
        <v>Rent: Apr '2023</v>
      </c>
      <c r="F212" s="147"/>
      <c r="G212" s="83">
        <v>2125</v>
      </c>
      <c r="H212" s="74">
        <f t="shared" si="22"/>
        <v>2124.9970500000013</v>
      </c>
    </row>
    <row r="213" spans="1:12" ht="12.75" customHeight="1" x14ac:dyDescent="0.25">
      <c r="A213" s="81">
        <f t="shared" si="19"/>
        <v>4</v>
      </c>
      <c r="B213" s="102">
        <f t="shared" si="20"/>
        <v>2023</v>
      </c>
      <c r="C213" s="102" t="str">
        <f t="shared" si="21"/>
        <v>Income: 1</v>
      </c>
      <c r="D213" s="41">
        <v>45017</v>
      </c>
      <c r="E213" s="1" t="s">
        <v>51</v>
      </c>
      <c r="F213" s="36">
        <v>2125</v>
      </c>
      <c r="G213" s="36"/>
      <c r="H213" s="107">
        <f t="shared" si="22"/>
        <v>-2.9499999986910552E-3</v>
      </c>
    </row>
    <row r="214" spans="1:12" ht="12.75" customHeight="1" x14ac:dyDescent="0.2">
      <c r="A214" s="81">
        <f t="shared" si="19"/>
        <v>5</v>
      </c>
      <c r="B214" s="102">
        <f t="shared" si="20"/>
        <v>2023</v>
      </c>
      <c r="C214" s="102" t="str">
        <f t="shared" si="21"/>
        <v>Rent: 1</v>
      </c>
      <c r="D214" s="120" t="str">
        <f>MONTH(D213)+1 &amp; "/1/" &amp; YEAR(D213)</f>
        <v>5/1/2023</v>
      </c>
      <c r="E214" s="121" t="str">
        <f>"Rent: "&amp;LOOKUP(A214-1, Months, TextMonths)&amp;" '"&amp;B214</f>
        <v>Rent: May '2023</v>
      </c>
      <c r="F214" s="36"/>
      <c r="G214" s="106">
        <v>2225</v>
      </c>
      <c r="H214" s="107">
        <f t="shared" si="22"/>
        <v>2224.9970500000013</v>
      </c>
    </row>
    <row r="215" spans="1:12" ht="12.75" customHeight="1" x14ac:dyDescent="0.25">
      <c r="A215" s="81">
        <f t="shared" si="19"/>
        <v>5</v>
      </c>
      <c r="B215" s="102">
        <f t="shared" si="20"/>
        <v>2023</v>
      </c>
      <c r="C215" s="102" t="str">
        <f t="shared" si="21"/>
        <v>Income: 1</v>
      </c>
      <c r="D215" s="41">
        <v>45047</v>
      </c>
      <c r="E215" s="1" t="s">
        <v>51</v>
      </c>
      <c r="F215" s="36">
        <v>2225</v>
      </c>
      <c r="G215" s="36"/>
      <c r="H215" s="107">
        <f t="shared" si="22"/>
        <v>-2.9499999986910552E-3</v>
      </c>
    </row>
    <row r="216" spans="1:12" ht="12.75" customHeight="1" x14ac:dyDescent="0.2">
      <c r="A216" s="81">
        <f t="shared" si="19"/>
        <v>6</v>
      </c>
      <c r="B216" s="102">
        <f t="shared" si="20"/>
        <v>2023</v>
      </c>
      <c r="C216" s="102" t="str">
        <f t="shared" si="21"/>
        <v>Rent: 1</v>
      </c>
      <c r="D216" s="120" t="str">
        <f>MONTH(D215)+1 &amp; "/1/" &amp; YEAR(D215)</f>
        <v>6/1/2023</v>
      </c>
      <c r="E216" s="121" t="str">
        <f>"Rent: "&amp;LOOKUP(A216-1, Months, TextMonths)&amp;" '"&amp;B216</f>
        <v>Rent: Jun '2023</v>
      </c>
      <c r="F216" s="36"/>
      <c r="G216" s="106">
        <v>2225</v>
      </c>
      <c r="H216" s="107">
        <f t="shared" si="22"/>
        <v>2224.9970500000013</v>
      </c>
    </row>
    <row r="217" spans="1:12" ht="12.75" customHeight="1" x14ac:dyDescent="0.25">
      <c r="A217" s="81">
        <f t="shared" si="19"/>
        <v>6</v>
      </c>
      <c r="B217" s="102">
        <f t="shared" si="20"/>
        <v>2023</v>
      </c>
      <c r="C217" s="102" t="str">
        <f t="shared" si="21"/>
        <v>Income: 1</v>
      </c>
      <c r="D217" s="133">
        <v>45078</v>
      </c>
      <c r="E217" s="134" t="s">
        <v>51</v>
      </c>
      <c r="F217" s="105">
        <v>2225</v>
      </c>
      <c r="G217" s="105"/>
      <c r="H217" s="107">
        <f t="shared" si="22"/>
        <v>-2.9499999986910552E-3</v>
      </c>
    </row>
    <row r="218" spans="1:12" ht="12.75" customHeight="1" x14ac:dyDescent="0.2">
      <c r="A218" s="234">
        <f t="shared" si="19"/>
        <v>7</v>
      </c>
      <c r="B218" s="235">
        <f t="shared" si="20"/>
        <v>2023</v>
      </c>
      <c r="C218" s="235" t="str">
        <f t="shared" si="21"/>
        <v>Rent: 1</v>
      </c>
      <c r="D218" s="236" t="str">
        <f>MONTH(D217)+1 &amp; "/1/" &amp; YEAR(D217)</f>
        <v>7/1/2023</v>
      </c>
      <c r="E218" s="237" t="str">
        <f>"Rent: "&amp;LOOKUP(A218-1, Months, TextMonths)&amp;" '"&amp;B218</f>
        <v>Rent: Jul '2023</v>
      </c>
      <c r="F218" s="238"/>
      <c r="G218" s="239">
        <v>2225</v>
      </c>
      <c r="H218" s="240">
        <f t="shared" si="22"/>
        <v>2224.9970500000013</v>
      </c>
    </row>
    <row r="219" spans="1:12" ht="12.75" customHeight="1" x14ac:dyDescent="0.25">
      <c r="A219" s="241">
        <f t="shared" si="19"/>
        <v>7</v>
      </c>
      <c r="B219" s="102">
        <f t="shared" si="20"/>
        <v>2023</v>
      </c>
      <c r="C219" s="102" t="str">
        <f t="shared" si="21"/>
        <v>Income: 1</v>
      </c>
      <c r="D219" s="133">
        <v>45108</v>
      </c>
      <c r="E219" s="134" t="s">
        <v>51</v>
      </c>
      <c r="F219" s="105">
        <v>2225</v>
      </c>
      <c r="G219" s="105"/>
      <c r="H219" s="107">
        <f t="shared" si="22"/>
        <v>-2.9499999986910552E-3</v>
      </c>
    </row>
    <row r="220" spans="1:12" ht="12.75" customHeight="1" x14ac:dyDescent="0.2">
      <c r="A220" s="241">
        <f t="shared" si="19"/>
        <v>8</v>
      </c>
      <c r="B220" s="102">
        <f t="shared" si="20"/>
        <v>2023</v>
      </c>
      <c r="C220" s="102" t="str">
        <f t="shared" si="21"/>
        <v>Rent: 1</v>
      </c>
      <c r="D220" s="120" t="str">
        <f>MONTH(D219)+1 &amp; "/1/" &amp; YEAR(D219)</f>
        <v>8/1/2023</v>
      </c>
      <c r="E220" s="121" t="str">
        <f>"Rent: "&amp;LOOKUP(A220-1, Months, TextMonths)&amp;" '"&amp;B220</f>
        <v>Rent: Aug '2023</v>
      </c>
      <c r="F220" s="105"/>
      <c r="G220" s="106">
        <v>2225</v>
      </c>
      <c r="H220" s="107">
        <f t="shared" si="22"/>
        <v>2224.9970500000013</v>
      </c>
    </row>
    <row r="221" spans="1:12" ht="12.75" customHeight="1" x14ac:dyDescent="0.25">
      <c r="A221" s="241">
        <f t="shared" si="19"/>
        <v>8</v>
      </c>
      <c r="B221" s="102">
        <f t="shared" si="20"/>
        <v>2023</v>
      </c>
      <c r="C221" s="102" t="str">
        <f t="shared" si="21"/>
        <v>Income: 1</v>
      </c>
      <c r="D221" s="133">
        <v>45139</v>
      </c>
      <c r="E221" s="134" t="s">
        <v>51</v>
      </c>
      <c r="F221" s="105">
        <v>2225</v>
      </c>
      <c r="G221" s="105"/>
      <c r="H221" s="107">
        <f t="shared" si="22"/>
        <v>-2.9499999986910552E-3</v>
      </c>
    </row>
    <row r="222" spans="1:12" ht="12.75" customHeight="1" x14ac:dyDescent="0.2">
      <c r="A222" s="241">
        <f t="shared" si="19"/>
        <v>9</v>
      </c>
      <c r="B222" s="102">
        <f t="shared" si="20"/>
        <v>2023</v>
      </c>
      <c r="C222" s="102" t="str">
        <f t="shared" si="21"/>
        <v>Rent: 1</v>
      </c>
      <c r="D222" s="120" t="str">
        <f>MONTH(D221)+1 &amp; "/1/" &amp; YEAR(D221)</f>
        <v>9/1/2023</v>
      </c>
      <c r="E222" s="121" t="str">
        <f>"Rent: "&amp;LOOKUP(A222-1, Months, TextMonths)&amp;" '"&amp;B222</f>
        <v>Rent: Sep '2023</v>
      </c>
      <c r="F222" s="105"/>
      <c r="G222" s="106">
        <v>2225</v>
      </c>
      <c r="H222" s="107">
        <f t="shared" si="22"/>
        <v>2224.9970500000013</v>
      </c>
    </row>
    <row r="223" spans="1:12" ht="12.75" customHeight="1" x14ac:dyDescent="0.25">
      <c r="A223" s="242">
        <f t="shared" si="19"/>
        <v>9</v>
      </c>
      <c r="B223" s="243">
        <f t="shared" si="20"/>
        <v>2023</v>
      </c>
      <c r="C223" s="243" t="str">
        <f t="shared" si="21"/>
        <v>Income: 1</v>
      </c>
      <c r="D223" s="244">
        <v>45170</v>
      </c>
      <c r="E223" s="245" t="s">
        <v>51</v>
      </c>
      <c r="F223" s="246">
        <v>2225</v>
      </c>
      <c r="G223" s="246"/>
      <c r="H223" s="247">
        <f t="shared" si="22"/>
        <v>-2.9499999986910552E-3</v>
      </c>
    </row>
    <row r="224" spans="1:12" ht="12.75" customHeight="1" x14ac:dyDescent="0.2">
      <c r="A224" s="241">
        <f t="shared" ref="A224:A225" si="23">MONTH(D224)</f>
        <v>10</v>
      </c>
      <c r="B224" s="102">
        <f t="shared" ref="B224:B225" si="24">YEAR(D224)</f>
        <v>2023</v>
      </c>
      <c r="C224" s="102" t="str">
        <f t="shared" ref="C224:C225" si="25">IFERROR("Rent: "&amp;FIND("Rent",E224),IFERROR("Priv Tax: "&amp;FIND("Tax",E224), IFERROR("Income: "&amp;FIND("Payment",E224,1),"")))</f>
        <v>Rent: 1</v>
      </c>
      <c r="D224" s="120" t="str">
        <f>MONTH(D223)+1 &amp; "/1/" &amp; YEAR(D223)</f>
        <v>10/1/2023</v>
      </c>
      <c r="E224" s="121" t="str">
        <f>"Rent: "&amp;LOOKUP(A224-1, Months, TextMonths)&amp;" '"&amp;B224</f>
        <v>Rent: Oct '2023</v>
      </c>
      <c r="F224" s="105"/>
      <c r="G224" s="106">
        <v>2225</v>
      </c>
      <c r="H224" s="107">
        <f t="shared" ref="H224:H225" si="26">H223+G224-F224</f>
        <v>2224.9970500000013</v>
      </c>
    </row>
    <row r="225" spans="1:8" ht="12.75" customHeight="1" x14ac:dyDescent="0.25">
      <c r="A225" s="242">
        <f t="shared" si="23"/>
        <v>10</v>
      </c>
      <c r="B225" s="243">
        <f t="shared" si="24"/>
        <v>2023</v>
      </c>
      <c r="C225" s="243" t="str">
        <f t="shared" si="25"/>
        <v>Income: 1</v>
      </c>
      <c r="D225" s="244">
        <v>45201</v>
      </c>
      <c r="E225" s="245" t="s">
        <v>51</v>
      </c>
      <c r="F225" s="246">
        <v>2225</v>
      </c>
      <c r="G225" s="246"/>
      <c r="H225" s="247">
        <f t="shared" si="26"/>
        <v>-2.9499999986910552E-3</v>
      </c>
    </row>
    <row r="226" spans="1:8" ht="12.75" customHeight="1" x14ac:dyDescent="0.2">
      <c r="F226" s="36"/>
      <c r="G226" s="36"/>
      <c r="H226" s="36"/>
    </row>
    <row r="227" spans="1:8" ht="12.75" customHeight="1" x14ac:dyDescent="0.2">
      <c r="F227" s="36"/>
      <c r="G227" s="36"/>
      <c r="H227" s="36"/>
    </row>
    <row r="228" spans="1:8" ht="12.75" customHeight="1" x14ac:dyDescent="0.2">
      <c r="F228" s="36"/>
      <c r="G228" s="36"/>
      <c r="H228" s="36"/>
    </row>
    <row r="229" spans="1:8" ht="12.75" customHeight="1" x14ac:dyDescent="0.2">
      <c r="F229" s="36"/>
      <c r="G229" s="36"/>
      <c r="H229" s="36"/>
    </row>
    <row r="230" spans="1:8" ht="12.75" customHeight="1" x14ac:dyDescent="0.2">
      <c r="F230" s="36"/>
      <c r="G230" s="36"/>
      <c r="H230" s="36"/>
    </row>
    <row r="231" spans="1:8" ht="12.75" customHeight="1" x14ac:dyDescent="0.2">
      <c r="F231" s="36"/>
      <c r="G231" s="36"/>
      <c r="H231" s="36"/>
    </row>
    <row r="232" spans="1:8" ht="12.75" customHeight="1" x14ac:dyDescent="0.2">
      <c r="F232" s="36"/>
      <c r="G232" s="36"/>
      <c r="H232" s="36"/>
    </row>
    <row r="233" spans="1:8" ht="12.75" customHeight="1" x14ac:dyDescent="0.2">
      <c r="F233" s="36"/>
      <c r="G233" s="36"/>
      <c r="H233" s="36"/>
    </row>
    <row r="234" spans="1:8" ht="12.75" customHeight="1" x14ac:dyDescent="0.2">
      <c r="F234" s="36"/>
      <c r="G234" s="36"/>
      <c r="H234" s="36"/>
    </row>
    <row r="235" spans="1:8" ht="12.75" customHeight="1" x14ac:dyDescent="0.2">
      <c r="F235" s="36"/>
      <c r="G235" s="36"/>
      <c r="H235" s="36"/>
    </row>
    <row r="236" spans="1:8" ht="12.75" customHeight="1" x14ac:dyDescent="0.2">
      <c r="F236" s="36"/>
      <c r="G236" s="36"/>
      <c r="H236" s="36"/>
    </row>
    <row r="237" spans="1:8" ht="12.75" customHeight="1" x14ac:dyDescent="0.2">
      <c r="F237" s="36"/>
      <c r="G237" s="36"/>
      <c r="H237" s="36"/>
    </row>
    <row r="238" spans="1:8" ht="12.75" customHeight="1" x14ac:dyDescent="0.2">
      <c r="F238" s="36"/>
      <c r="G238" s="36"/>
      <c r="H238" s="36"/>
    </row>
    <row r="239" spans="1:8" ht="12.75" customHeight="1" x14ac:dyDescent="0.2">
      <c r="F239" s="36"/>
      <c r="G239" s="36"/>
      <c r="H239" s="36"/>
    </row>
    <row r="240" spans="1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workbookViewId="0">
      <pane xSplit="2" ySplit="4" topLeftCell="G5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B5" sqref="B5"/>
    </sheetView>
  </sheetViews>
  <sheetFormatPr defaultColWidth="12.5703125" defaultRowHeight="15" customHeight="1" x14ac:dyDescent="0.2"/>
  <cols>
    <col min="1" max="1" width="13.57031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140625" customWidth="1"/>
    <col min="13" max="13" width="11.85546875" customWidth="1"/>
    <col min="14" max="14" width="12.28515625" customWidth="1"/>
    <col min="15" max="26" width="8.5703125" customWidth="1"/>
  </cols>
  <sheetData>
    <row r="1" spans="1:26" ht="12.75" customHeight="1" x14ac:dyDescent="0.2">
      <c r="C1" t="s">
        <v>127</v>
      </c>
      <c r="D1" s="163" t="s">
        <v>145</v>
      </c>
      <c r="E1" s="104"/>
      <c r="F1" s="104" t="s">
        <v>175</v>
      </c>
      <c r="G1" s="150" t="s">
        <v>123</v>
      </c>
      <c r="H1" s="34" t="s">
        <v>52</v>
      </c>
      <c r="I1" s="147"/>
      <c r="J1" s="104"/>
      <c r="K1" s="51"/>
      <c r="L1" s="51"/>
    </row>
    <row r="2" spans="1:26" ht="12.75" customHeight="1" x14ac:dyDescent="0.2">
      <c r="D2" t="s">
        <v>144</v>
      </c>
      <c r="E2" s="104"/>
      <c r="F2" s="246">
        <v>2150</v>
      </c>
      <c r="G2" s="151">
        <v>3</v>
      </c>
      <c r="H2" s="105">
        <v>25</v>
      </c>
      <c r="I2" s="153" t="s">
        <v>41</v>
      </c>
      <c r="J2" s="104"/>
      <c r="K2" s="51"/>
    </row>
    <row r="3" spans="1:26" ht="12.75" customHeight="1" x14ac:dyDescent="0.25">
      <c r="A3" s="30">
        <f>COUNTIF(A7:A65525, "&lt;&gt;")</f>
        <v>138</v>
      </c>
      <c r="D3" s="35">
        <f t="array" ref="D3">INDEX(D7:D65524, A3)</f>
        <v>45168</v>
      </c>
      <c r="E3" s="122"/>
      <c r="F3" s="105"/>
      <c r="G3" s="149" t="s">
        <v>40</v>
      </c>
      <c r="H3" s="152">
        <f t="array" ref="H3">INDEX(H7:H65524, A3)</f>
        <v>75</v>
      </c>
      <c r="I3" s="154">
        <v>45504</v>
      </c>
      <c r="J3" s="105"/>
      <c r="K3" s="67" t="s">
        <v>65</v>
      </c>
    </row>
    <row r="4" spans="1:26" ht="12.75" customHeight="1" x14ac:dyDescent="0.2">
      <c r="A4" s="68" t="s">
        <v>43</v>
      </c>
      <c r="B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259" t="s">
        <v>66</v>
      </c>
      <c r="J4" s="260"/>
      <c r="K4" s="261"/>
      <c r="L4" s="69" t="s">
        <v>67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t="s">
        <v>188</v>
      </c>
      <c r="B5" s="162" t="s">
        <v>193</v>
      </c>
      <c r="K5" s="257"/>
      <c r="L5" s="258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thickBot="1" x14ac:dyDescent="0.25">
      <c r="A6" s="161" t="s">
        <v>178</v>
      </c>
      <c r="B6" s="160" t="s">
        <v>132</v>
      </c>
      <c r="E6" s="36"/>
      <c r="F6" s="36"/>
      <c r="G6" s="36"/>
      <c r="H6" s="36"/>
    </row>
    <row r="7" spans="1:26" ht="12.75" customHeight="1" x14ac:dyDescent="0.2">
      <c r="A7" s="42">
        <f t="shared" ref="A7:A86" si="0">MONTH(D7)</f>
        <v>8</v>
      </c>
      <c r="B7" s="42">
        <f t="shared" ref="B7:B86" si="1">YEAR(D7)</f>
        <v>2017</v>
      </c>
      <c r="C7" s="42" t="str">
        <f t="shared" ref="C7:C86" si="2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">
      <c r="A8" s="37">
        <f t="shared" si="0"/>
        <v>8</v>
      </c>
      <c r="B8" s="37">
        <f t="shared" si="1"/>
        <v>2017</v>
      </c>
      <c r="C8" s="37" t="str">
        <f t="shared" si="2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 t="shared" ref="H8:H9" si="3">H7+G8-F8</f>
        <v>1150</v>
      </c>
      <c r="L8" s="71"/>
    </row>
    <row r="9" spans="1:26" ht="12.75" customHeight="1" x14ac:dyDescent="0.25">
      <c r="A9" s="37">
        <f t="shared" si="0"/>
        <v>9</v>
      </c>
      <c r="B9" s="37">
        <f t="shared" si="1"/>
        <v>2013</v>
      </c>
      <c r="C9" s="37" t="str">
        <f t="shared" si="2"/>
        <v/>
      </c>
      <c r="D9" s="28">
        <v>41521</v>
      </c>
      <c r="E9" s="70" t="s">
        <v>49</v>
      </c>
      <c r="F9" s="36"/>
      <c r="G9" s="36">
        <v>1150</v>
      </c>
      <c r="H9" s="38">
        <f t="shared" si="3"/>
        <v>2300</v>
      </c>
      <c r="K9" s="15"/>
      <c r="L9" s="71"/>
      <c r="N9" s="15"/>
    </row>
    <row r="10" spans="1:26" ht="12.75" customHeight="1" x14ac:dyDescent="0.25">
      <c r="A10" s="37">
        <f t="shared" si="0"/>
        <v>9</v>
      </c>
      <c r="B10" s="37">
        <f t="shared" si="1"/>
        <v>2013</v>
      </c>
      <c r="C10" s="37" t="str">
        <f t="shared" si="2"/>
        <v/>
      </c>
      <c r="D10" s="28">
        <v>41521</v>
      </c>
      <c r="E10" s="70" t="s">
        <v>68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">
      <c r="A11" s="37">
        <f t="shared" si="0"/>
        <v>8</v>
      </c>
      <c r="B11" s="37">
        <f t="shared" si="1"/>
        <v>2017</v>
      </c>
      <c r="C11" s="37" t="str">
        <f t="shared" si="2"/>
        <v>Income: 1</v>
      </c>
      <c r="D11" s="28">
        <v>42949</v>
      </c>
      <c r="E11" s="29" t="s">
        <v>82</v>
      </c>
      <c r="F11" s="36">
        <v>2450</v>
      </c>
      <c r="G11" s="36"/>
      <c r="H11" s="38">
        <f t="shared" ref="H11:H86" si="4">H10+G11-F11</f>
        <v>0</v>
      </c>
      <c r="K11" s="15"/>
      <c r="L11" s="71"/>
      <c r="M11" s="15"/>
      <c r="N11" s="36"/>
    </row>
    <row r="12" spans="1:26" ht="12.75" customHeight="1" x14ac:dyDescent="0.2">
      <c r="A12" s="37">
        <f t="shared" si="0"/>
        <v>9</v>
      </c>
      <c r="B12" s="37">
        <f t="shared" si="1"/>
        <v>2017</v>
      </c>
      <c r="C12" s="37" t="str">
        <f t="shared" si="2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4"/>
        <v>1150</v>
      </c>
      <c r="I12" s="32"/>
      <c r="J12" s="32"/>
      <c r="K12" s="15"/>
      <c r="L12" s="71"/>
    </row>
    <row r="13" spans="1:26" ht="12.75" customHeight="1" x14ac:dyDescent="0.2">
      <c r="A13" s="37">
        <f t="shared" si="0"/>
        <v>9</v>
      </c>
      <c r="B13" s="37">
        <f t="shared" si="1"/>
        <v>2017</v>
      </c>
      <c r="C13" s="37" t="str">
        <f t="shared" si="2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4"/>
        <v>1170.7</v>
      </c>
      <c r="I13" s="36"/>
      <c r="J13" s="36"/>
      <c r="K13" s="15"/>
      <c r="L13" s="71"/>
    </row>
    <row r="14" spans="1:26" ht="12.75" customHeight="1" x14ac:dyDescent="0.2">
      <c r="A14" s="47">
        <f t="shared" si="0"/>
        <v>9</v>
      </c>
      <c r="B14" s="47">
        <f t="shared" si="1"/>
        <v>2017</v>
      </c>
      <c r="C14" s="47" t="str">
        <f t="shared" si="2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4"/>
        <v>0</v>
      </c>
      <c r="I14" s="49"/>
      <c r="J14" s="49"/>
      <c r="K14" s="85"/>
      <c r="L14" s="78"/>
      <c r="M14" s="15"/>
      <c r="N14" s="36"/>
    </row>
    <row r="15" spans="1:26" ht="12.75" customHeight="1" x14ac:dyDescent="0.2">
      <c r="A15" s="42">
        <f t="shared" si="0"/>
        <v>10</v>
      </c>
      <c r="B15" s="42">
        <f t="shared" si="1"/>
        <v>2017</v>
      </c>
      <c r="C15" s="42" t="str">
        <f t="shared" si="2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4"/>
        <v>1149.312377210216</v>
      </c>
      <c r="I15" s="33"/>
      <c r="J15" s="33"/>
      <c r="K15" s="88"/>
      <c r="L15" s="75"/>
    </row>
    <row r="16" spans="1:26" ht="12.75" customHeight="1" x14ac:dyDescent="0.2">
      <c r="A16" s="37">
        <f t="shared" si="0"/>
        <v>10</v>
      </c>
      <c r="B16" s="37">
        <f t="shared" si="1"/>
        <v>2017</v>
      </c>
      <c r="C16" s="37" t="str">
        <f t="shared" si="2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4"/>
        <v>1170</v>
      </c>
      <c r="L16" s="71"/>
    </row>
    <row r="17" spans="1:14" ht="12.75" customHeight="1" x14ac:dyDescent="0.2">
      <c r="A17" s="37">
        <f t="shared" si="0"/>
        <v>10</v>
      </c>
      <c r="B17" s="37">
        <f t="shared" si="1"/>
        <v>2017</v>
      </c>
      <c r="C17" s="37" t="str">
        <f t="shared" si="2"/>
        <v/>
      </c>
      <c r="D17" s="28">
        <v>43009</v>
      </c>
      <c r="E17" s="29" t="s">
        <v>46</v>
      </c>
      <c r="F17" s="36">
        <v>200</v>
      </c>
      <c r="G17" s="36"/>
      <c r="H17" s="38">
        <f t="shared" si="4"/>
        <v>970</v>
      </c>
      <c r="L17" s="71"/>
      <c r="M17" s="15"/>
      <c r="N17" s="36"/>
    </row>
    <row r="18" spans="1:14" ht="12.75" customHeight="1" x14ac:dyDescent="0.2">
      <c r="A18" s="37">
        <f t="shared" si="0"/>
        <v>10</v>
      </c>
      <c r="B18" s="37">
        <f t="shared" si="1"/>
        <v>2017</v>
      </c>
      <c r="C18" s="37" t="str">
        <f t="shared" si="2"/>
        <v/>
      </c>
      <c r="D18" s="28">
        <v>43009</v>
      </c>
      <c r="E18" s="29" t="s">
        <v>46</v>
      </c>
      <c r="F18" s="36">
        <v>40</v>
      </c>
      <c r="G18" s="36"/>
      <c r="H18" s="38">
        <f t="shared" si="4"/>
        <v>930</v>
      </c>
      <c r="L18" s="71"/>
      <c r="M18" s="15"/>
      <c r="N18" s="36"/>
    </row>
    <row r="19" spans="1:14" ht="12.75" customHeight="1" x14ac:dyDescent="0.2">
      <c r="A19" s="37">
        <f t="shared" si="0"/>
        <v>10</v>
      </c>
      <c r="B19" s="37">
        <f t="shared" si="1"/>
        <v>2017</v>
      </c>
      <c r="C19" s="37" t="str">
        <f t="shared" si="2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4"/>
        <v>20</v>
      </c>
      <c r="K19" s="15"/>
      <c r="L19" s="71"/>
      <c r="M19" s="15"/>
      <c r="N19" s="36"/>
    </row>
    <row r="20" spans="1:14" ht="12.75" customHeight="1" x14ac:dyDescent="0.2">
      <c r="A20" s="37">
        <f t="shared" si="0"/>
        <v>11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4"/>
        <v>1169.31</v>
      </c>
      <c r="K20" s="15"/>
      <c r="L20" s="71"/>
    </row>
    <row r="21" spans="1:14" ht="12.75" customHeight="1" x14ac:dyDescent="0.2">
      <c r="A21" s="37">
        <f t="shared" si="0"/>
        <v>11</v>
      </c>
      <c r="B21" s="37">
        <f t="shared" si="1"/>
        <v>2017</v>
      </c>
      <c r="C21" s="37" t="str">
        <f t="shared" si="2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4"/>
        <v>1190</v>
      </c>
      <c r="I21" s="30"/>
      <c r="K21" s="15"/>
      <c r="L21" s="71"/>
    </row>
    <row r="22" spans="1:14" ht="12.75" customHeight="1" x14ac:dyDescent="0.2">
      <c r="A22" s="37">
        <f t="shared" si="0"/>
        <v>11</v>
      </c>
      <c r="B22" s="37">
        <f t="shared" si="1"/>
        <v>2017</v>
      </c>
      <c r="C22" s="37" t="str">
        <f t="shared" si="2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si="4"/>
        <v>20</v>
      </c>
      <c r="I22" s="36"/>
      <c r="L22" s="71"/>
      <c r="M22" s="15"/>
      <c r="N22" s="36"/>
    </row>
    <row r="23" spans="1:14" ht="12.75" customHeight="1" x14ac:dyDescent="0.2">
      <c r="A23" s="37">
        <f t="shared" si="0"/>
        <v>12</v>
      </c>
      <c r="B23" s="37">
        <f t="shared" si="1"/>
        <v>2017</v>
      </c>
      <c r="C23" s="37" t="str">
        <f t="shared" si="2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">
      <c r="A24" s="37">
        <f t="shared" si="0"/>
        <v>12</v>
      </c>
      <c r="B24" s="37">
        <f t="shared" si="1"/>
        <v>2017</v>
      </c>
      <c r="C24" s="37" t="str">
        <f t="shared" si="2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">
      <c r="A25" s="37">
        <f t="shared" si="0"/>
        <v>12</v>
      </c>
      <c r="B25" s="37">
        <f t="shared" si="1"/>
        <v>2017</v>
      </c>
      <c r="C25" s="37" t="str">
        <f t="shared" si="2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x14ac:dyDescent="0.2">
      <c r="A26" s="47">
        <f t="shared" si="0"/>
        <v>12</v>
      </c>
      <c r="B26" s="47">
        <f t="shared" si="1"/>
        <v>2017</v>
      </c>
      <c r="C26" s="47" t="str">
        <f t="shared" si="2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">
      <c r="A27" s="42">
        <f t="shared" si="0"/>
        <v>1</v>
      </c>
      <c r="B27" s="42">
        <f t="shared" si="1"/>
        <v>2018</v>
      </c>
      <c r="C27" s="42" t="str">
        <f t="shared" si="2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">
      <c r="A28" s="37">
        <f t="shared" si="0"/>
        <v>1</v>
      </c>
      <c r="B28" s="37">
        <f t="shared" si="1"/>
        <v>2018</v>
      </c>
      <c r="C28" s="37" t="str">
        <f t="shared" si="2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">
      <c r="A29" s="37">
        <f t="shared" si="0"/>
        <v>1</v>
      </c>
      <c r="B29" s="37">
        <f t="shared" si="1"/>
        <v>2018</v>
      </c>
      <c r="C29" s="37" t="str">
        <f t="shared" si="2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">
      <c r="A30" s="37">
        <f t="shared" si="0"/>
        <v>2</v>
      </c>
      <c r="B30" s="37">
        <f t="shared" si="1"/>
        <v>2018</v>
      </c>
      <c r="C30" s="37" t="str">
        <f t="shared" si="2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">
      <c r="A31" s="37">
        <f t="shared" si="0"/>
        <v>2</v>
      </c>
      <c r="B31" s="37">
        <f t="shared" si="1"/>
        <v>2018</v>
      </c>
      <c r="C31" s="37" t="str">
        <f t="shared" si="2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">
      <c r="A32" s="37">
        <f t="shared" si="0"/>
        <v>2</v>
      </c>
      <c r="B32" s="37">
        <f t="shared" si="1"/>
        <v>2018</v>
      </c>
      <c r="C32" s="37" t="str">
        <f t="shared" si="2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">
      <c r="A33" s="37">
        <f t="shared" si="0"/>
        <v>3</v>
      </c>
      <c r="B33" s="37">
        <f t="shared" si="1"/>
        <v>2018</v>
      </c>
      <c r="C33" s="37" t="str">
        <f t="shared" si="2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">
      <c r="A34" s="37">
        <f t="shared" si="0"/>
        <v>3</v>
      </c>
      <c r="B34" s="37">
        <f t="shared" si="1"/>
        <v>2018</v>
      </c>
      <c r="C34" s="37" t="str">
        <f t="shared" si="2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x14ac:dyDescent="0.2">
      <c r="A35" s="47">
        <f t="shared" si="0"/>
        <v>3</v>
      </c>
      <c r="B35" s="47">
        <f t="shared" si="1"/>
        <v>2018</v>
      </c>
      <c r="C35" s="47" t="str">
        <f t="shared" si="2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">
      <c r="A36" s="42">
        <f t="shared" si="0"/>
        <v>4</v>
      </c>
      <c r="B36" s="42">
        <f t="shared" si="1"/>
        <v>2018</v>
      </c>
      <c r="C36" s="42" t="str">
        <f t="shared" si="2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">
      <c r="A37" s="37">
        <f t="shared" si="0"/>
        <v>4</v>
      </c>
      <c r="B37" s="37">
        <f t="shared" si="1"/>
        <v>2018</v>
      </c>
      <c r="C37" s="37" t="str">
        <f t="shared" si="2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">
      <c r="A38" s="37">
        <f t="shared" si="0"/>
        <v>4</v>
      </c>
      <c r="B38" s="37">
        <f t="shared" si="1"/>
        <v>2018</v>
      </c>
      <c r="C38" s="37" t="str">
        <f t="shared" si="2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">
      <c r="A39" s="37">
        <f t="shared" si="0"/>
        <v>5</v>
      </c>
      <c r="B39" s="37">
        <f t="shared" si="1"/>
        <v>2018</v>
      </c>
      <c r="C39" s="37" t="str">
        <f t="shared" si="2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">
      <c r="A40" s="37">
        <f t="shared" si="0"/>
        <v>5</v>
      </c>
      <c r="B40" s="37">
        <f t="shared" si="1"/>
        <v>2018</v>
      </c>
      <c r="C40" s="37" t="str">
        <f t="shared" si="2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">
      <c r="A41" s="37">
        <f t="shared" si="0"/>
        <v>5</v>
      </c>
      <c r="B41" s="37">
        <f t="shared" si="1"/>
        <v>2018</v>
      </c>
      <c r="C41" s="37" t="str">
        <f t="shared" si="2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">
      <c r="A42" s="37">
        <f t="shared" si="0"/>
        <v>6</v>
      </c>
      <c r="B42" s="37">
        <f t="shared" si="1"/>
        <v>2018</v>
      </c>
      <c r="C42" s="37" t="str">
        <f t="shared" si="2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">
      <c r="A43" s="37">
        <f t="shared" si="0"/>
        <v>6</v>
      </c>
      <c r="B43" s="37">
        <f t="shared" si="1"/>
        <v>2018</v>
      </c>
      <c r="C43" s="37" t="str">
        <f t="shared" si="2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x14ac:dyDescent="0.2">
      <c r="A44" s="47">
        <f t="shared" si="0"/>
        <v>6</v>
      </c>
      <c r="B44" s="47">
        <f t="shared" si="1"/>
        <v>2018</v>
      </c>
      <c r="C44" s="47" t="str">
        <f t="shared" si="2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">
      <c r="A45" s="42">
        <f t="shared" si="0"/>
        <v>7</v>
      </c>
      <c r="B45" s="42">
        <f t="shared" si="1"/>
        <v>2018</v>
      </c>
      <c r="C45" s="42" t="str">
        <f t="shared" si="2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">
      <c r="A46" s="37">
        <f t="shared" si="0"/>
        <v>7</v>
      </c>
      <c r="B46" s="37">
        <f t="shared" si="1"/>
        <v>2018</v>
      </c>
      <c r="C46" s="37" t="str">
        <f t="shared" si="2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">
      <c r="A47" s="37">
        <f t="shared" si="0"/>
        <v>7</v>
      </c>
      <c r="B47" s="37">
        <f t="shared" si="1"/>
        <v>2018</v>
      </c>
      <c r="C47" s="37" t="str">
        <f t="shared" si="2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">
      <c r="A48" s="37">
        <f t="shared" si="0"/>
        <v>8</v>
      </c>
      <c r="B48" s="37">
        <f t="shared" si="1"/>
        <v>2018</v>
      </c>
      <c r="C48" s="37" t="str">
        <f t="shared" si="2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">
      <c r="A49" s="37">
        <f t="shared" si="0"/>
        <v>8</v>
      </c>
      <c r="B49" s="37">
        <f t="shared" si="1"/>
        <v>2018</v>
      </c>
      <c r="C49" s="37" t="str">
        <f t="shared" si="2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">
      <c r="A50" s="37">
        <f t="shared" si="0"/>
        <v>8</v>
      </c>
      <c r="B50" s="37">
        <f t="shared" si="1"/>
        <v>2018</v>
      </c>
      <c r="C50" s="37" t="str">
        <f t="shared" si="2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">
      <c r="A51" s="37">
        <f t="shared" si="0"/>
        <v>9</v>
      </c>
      <c r="B51" s="37">
        <f t="shared" si="1"/>
        <v>2018</v>
      </c>
      <c r="C51" s="37" t="str">
        <f t="shared" si="2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">
      <c r="A52" s="37">
        <f t="shared" si="0"/>
        <v>9</v>
      </c>
      <c r="B52" s="37">
        <f t="shared" si="1"/>
        <v>2018</v>
      </c>
      <c r="C52" s="37" t="str">
        <f t="shared" si="2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x14ac:dyDescent="0.2">
      <c r="A53" s="47">
        <f t="shared" si="0"/>
        <v>8</v>
      </c>
      <c r="B53" s="47">
        <f t="shared" si="1"/>
        <v>2018</v>
      </c>
      <c r="C53" s="47" t="str">
        <f t="shared" si="2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42">
        <f t="shared" si="0"/>
        <v>10</v>
      </c>
      <c r="B54" s="42">
        <f t="shared" si="1"/>
        <v>2018</v>
      </c>
      <c r="C54" s="42" t="str">
        <f t="shared" si="2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si="4"/>
        <v>1149.31</v>
      </c>
      <c r="I54" s="33"/>
      <c r="J54" s="33"/>
      <c r="K54" s="33"/>
      <c r="L54" s="75"/>
    </row>
    <row r="55" spans="1:12" ht="12.75" customHeight="1" x14ac:dyDescent="0.2">
      <c r="A55" s="37">
        <f t="shared" si="0"/>
        <v>10</v>
      </c>
      <c r="B55" s="37">
        <f t="shared" si="1"/>
        <v>2018</v>
      </c>
      <c r="C55" s="37" t="str">
        <f t="shared" si="2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4"/>
        <v>1170</v>
      </c>
      <c r="L55" s="71"/>
    </row>
    <row r="56" spans="1:12" ht="12.75" customHeight="1" x14ac:dyDescent="0.2">
      <c r="A56" s="37">
        <f t="shared" si="0"/>
        <v>10</v>
      </c>
      <c r="B56" s="37">
        <f t="shared" si="1"/>
        <v>2018</v>
      </c>
      <c r="C56" s="37" t="str">
        <f t="shared" si="2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4"/>
        <v>0</v>
      </c>
      <c r="L56" s="71"/>
    </row>
    <row r="57" spans="1:12" ht="12.75" customHeight="1" x14ac:dyDescent="0.2">
      <c r="A57" s="37">
        <f t="shared" si="0"/>
        <v>11</v>
      </c>
      <c r="B57" s="37">
        <f t="shared" si="1"/>
        <v>2018</v>
      </c>
      <c r="C57" s="37" t="str">
        <f t="shared" si="2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4"/>
        <v>1149.31</v>
      </c>
      <c r="I57" s="39"/>
      <c r="J57" s="30"/>
      <c r="L57" s="71"/>
    </row>
    <row r="58" spans="1:12" ht="12.75" customHeight="1" x14ac:dyDescent="0.2">
      <c r="A58" s="37">
        <f t="shared" si="0"/>
        <v>11</v>
      </c>
      <c r="B58" s="37">
        <f t="shared" si="1"/>
        <v>2018</v>
      </c>
      <c r="C58" s="37" t="str">
        <f t="shared" si="2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4"/>
        <v>1170</v>
      </c>
      <c r="I58" s="15"/>
      <c r="J58" s="15"/>
      <c r="K58" s="29"/>
      <c r="L58" s="71"/>
    </row>
    <row r="59" spans="1:12" ht="12.75" customHeight="1" x14ac:dyDescent="0.2">
      <c r="A59" s="37">
        <f t="shared" si="0"/>
        <v>11</v>
      </c>
      <c r="B59" s="37">
        <f t="shared" si="1"/>
        <v>2018</v>
      </c>
      <c r="C59" s="37" t="str">
        <f t="shared" si="2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4"/>
        <v>0</v>
      </c>
      <c r="I59" s="30"/>
      <c r="J59" s="36"/>
      <c r="K59" s="30"/>
      <c r="L59" s="71"/>
    </row>
    <row r="60" spans="1:12" ht="12.75" customHeight="1" x14ac:dyDescent="0.2">
      <c r="A60" s="37">
        <f t="shared" si="0"/>
        <v>12</v>
      </c>
      <c r="B60" s="37">
        <f t="shared" si="1"/>
        <v>2018</v>
      </c>
      <c r="C60" s="37" t="str">
        <f t="shared" si="2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4"/>
        <v>1149.31</v>
      </c>
      <c r="I60" s="32"/>
      <c r="J60" s="32"/>
      <c r="L60" s="71"/>
    </row>
    <row r="61" spans="1:12" ht="12.75" customHeight="1" x14ac:dyDescent="0.2">
      <c r="A61" s="37">
        <f t="shared" si="0"/>
        <v>12</v>
      </c>
      <c r="B61" s="37">
        <f t="shared" si="1"/>
        <v>2018</v>
      </c>
      <c r="C61" s="37" t="str">
        <f t="shared" si="2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4"/>
        <v>1170</v>
      </c>
      <c r="I61" s="36"/>
      <c r="J61" s="36"/>
      <c r="L61" s="71"/>
    </row>
    <row r="62" spans="1:12" ht="12.75" customHeight="1" x14ac:dyDescent="0.2">
      <c r="A62" s="47">
        <f t="shared" si="0"/>
        <v>12</v>
      </c>
      <c r="B62" s="47">
        <f t="shared" si="1"/>
        <v>2018</v>
      </c>
      <c r="C62" s="47" t="str">
        <f t="shared" si="2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4"/>
        <v>0</v>
      </c>
      <c r="I62" s="49"/>
      <c r="J62" s="49"/>
      <c r="K62" s="49"/>
      <c r="L62" s="78"/>
    </row>
    <row r="63" spans="1:12" ht="12.75" customHeight="1" x14ac:dyDescent="0.2">
      <c r="A63" s="42">
        <f t="shared" si="0"/>
        <v>1</v>
      </c>
      <c r="B63" s="42">
        <f t="shared" si="1"/>
        <v>2019</v>
      </c>
      <c r="C63" s="42" t="str">
        <f t="shared" si="2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4"/>
        <v>1149.31</v>
      </c>
      <c r="I63" s="33"/>
      <c r="J63" s="33"/>
      <c r="K63" s="33"/>
      <c r="L63" s="75"/>
    </row>
    <row r="64" spans="1:12" ht="12.75" customHeight="1" x14ac:dyDescent="0.2">
      <c r="A64" s="37">
        <f t="shared" si="0"/>
        <v>1</v>
      </c>
      <c r="B64" s="37">
        <f t="shared" si="1"/>
        <v>2019</v>
      </c>
      <c r="C64" s="37" t="str">
        <f t="shared" si="2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4"/>
        <v>1170</v>
      </c>
      <c r="I64" s="29"/>
      <c r="J64" s="29"/>
      <c r="K64" s="29"/>
      <c r="L64" s="71"/>
    </row>
    <row r="65" spans="1:12" ht="12.75" customHeight="1" x14ac:dyDescent="0.2">
      <c r="A65" s="37">
        <f t="shared" si="0"/>
        <v>1</v>
      </c>
      <c r="B65" s="37">
        <f t="shared" si="1"/>
        <v>2019</v>
      </c>
      <c r="C65" s="37" t="str">
        <f t="shared" si="2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4"/>
        <v>0</v>
      </c>
      <c r="I65" s="29"/>
      <c r="J65" s="29"/>
      <c r="K65" s="29"/>
      <c r="L65" s="71"/>
    </row>
    <row r="66" spans="1:12" ht="12.75" customHeight="1" x14ac:dyDescent="0.2">
      <c r="A66" s="37">
        <f t="shared" si="0"/>
        <v>2</v>
      </c>
      <c r="B66" s="37">
        <f t="shared" si="1"/>
        <v>2019</v>
      </c>
      <c r="C66" s="37" t="str">
        <f t="shared" si="2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4"/>
        <v>1149.31</v>
      </c>
      <c r="I66" s="39"/>
      <c r="J66" s="29"/>
      <c r="K66" s="29"/>
      <c r="L66" s="71"/>
    </row>
    <row r="67" spans="1:12" ht="12.75" customHeight="1" x14ac:dyDescent="0.2">
      <c r="A67" s="37">
        <f t="shared" si="0"/>
        <v>2</v>
      </c>
      <c r="B67" s="37">
        <f t="shared" si="1"/>
        <v>2019</v>
      </c>
      <c r="C67" s="37" t="str">
        <f t="shared" si="2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4"/>
        <v>1170</v>
      </c>
      <c r="I67" s="15"/>
      <c r="J67" s="15"/>
      <c r="K67" s="29"/>
      <c r="L67" s="71"/>
    </row>
    <row r="68" spans="1:12" ht="12.75" customHeight="1" x14ac:dyDescent="0.2">
      <c r="A68" s="37">
        <f t="shared" si="0"/>
        <v>2</v>
      </c>
      <c r="B68" s="37">
        <f t="shared" si="1"/>
        <v>2009</v>
      </c>
      <c r="C68" s="37" t="str">
        <f t="shared" si="2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4"/>
        <v>0</v>
      </c>
      <c r="I68" s="29"/>
      <c r="J68" s="29"/>
      <c r="K68" s="29"/>
      <c r="L68" s="71"/>
    </row>
    <row r="69" spans="1:12" ht="12.75" customHeight="1" x14ac:dyDescent="0.2">
      <c r="A69" s="37">
        <f t="shared" si="0"/>
        <v>3</v>
      </c>
      <c r="B69" s="37">
        <f t="shared" si="1"/>
        <v>2009</v>
      </c>
      <c r="C69" s="37" t="str">
        <f t="shared" si="2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4"/>
        <v>1149.31</v>
      </c>
      <c r="I69" s="32"/>
      <c r="J69" s="32"/>
      <c r="K69" s="29"/>
      <c r="L69" s="71"/>
    </row>
    <row r="70" spans="1:12" ht="12.75" customHeight="1" x14ac:dyDescent="0.2">
      <c r="A70" s="37">
        <f t="shared" si="0"/>
        <v>3</v>
      </c>
      <c r="B70" s="37">
        <f t="shared" si="1"/>
        <v>2009</v>
      </c>
      <c r="C70" s="37" t="str">
        <f t="shared" si="2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4"/>
        <v>1170</v>
      </c>
      <c r="I70" s="36"/>
      <c r="J70" s="36"/>
      <c r="K70" s="29"/>
      <c r="L70" s="71"/>
    </row>
    <row r="71" spans="1:12" ht="12.75" customHeight="1" x14ac:dyDescent="0.2">
      <c r="A71" s="47">
        <f t="shared" si="0"/>
        <v>2</v>
      </c>
      <c r="B71" s="47">
        <f t="shared" si="1"/>
        <v>2019</v>
      </c>
      <c r="C71" s="47" t="str">
        <f t="shared" si="2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4"/>
        <v>0</v>
      </c>
      <c r="I71" s="49"/>
      <c r="J71" s="49"/>
      <c r="K71" s="49"/>
      <c r="L71" s="78"/>
    </row>
    <row r="72" spans="1:12" ht="12.75" customHeight="1" x14ac:dyDescent="0.2">
      <c r="A72" s="80">
        <f t="shared" si="0"/>
        <v>4</v>
      </c>
      <c r="B72" s="42">
        <f t="shared" si="1"/>
        <v>2019</v>
      </c>
      <c r="C72" s="42" t="str">
        <f t="shared" si="2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4"/>
        <v>1149.31</v>
      </c>
      <c r="I72" s="33"/>
      <c r="J72" s="33"/>
      <c r="K72" s="33"/>
      <c r="L72" s="75"/>
    </row>
    <row r="73" spans="1:12" ht="12.75" customHeight="1" x14ac:dyDescent="0.2">
      <c r="A73" s="81">
        <f t="shared" si="0"/>
        <v>4</v>
      </c>
      <c r="B73" s="37">
        <f t="shared" si="1"/>
        <v>2019</v>
      </c>
      <c r="C73" s="37" t="str">
        <f t="shared" si="2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4"/>
        <v>1170</v>
      </c>
      <c r="I73" s="29"/>
      <c r="J73" s="29"/>
      <c r="K73" s="29"/>
      <c r="L73" s="71"/>
    </row>
    <row r="74" spans="1:12" ht="12.75" customHeight="1" x14ac:dyDescent="0.2">
      <c r="A74" s="81">
        <f t="shared" si="0"/>
        <v>4</v>
      </c>
      <c r="B74" s="37">
        <f t="shared" si="1"/>
        <v>2019</v>
      </c>
      <c r="C74" s="37" t="str">
        <f t="shared" si="2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4"/>
        <v>0</v>
      </c>
      <c r="I74" s="29"/>
      <c r="J74" s="29"/>
      <c r="K74" s="29"/>
      <c r="L74" s="71"/>
    </row>
    <row r="75" spans="1:12" ht="12.75" customHeight="1" x14ac:dyDescent="0.2">
      <c r="A75" s="81">
        <f t="shared" si="0"/>
        <v>5</v>
      </c>
      <c r="B75" s="37">
        <f t="shared" si="1"/>
        <v>2019</v>
      </c>
      <c r="C75" s="37" t="str">
        <f t="shared" si="2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4"/>
        <v>1149.31</v>
      </c>
      <c r="I75" s="39"/>
      <c r="J75" s="29"/>
      <c r="K75" s="29"/>
      <c r="L75" s="71"/>
    </row>
    <row r="76" spans="1:12" ht="12.75" customHeight="1" x14ac:dyDescent="0.2">
      <c r="A76" s="81">
        <f t="shared" si="0"/>
        <v>5</v>
      </c>
      <c r="B76" s="37">
        <f t="shared" si="1"/>
        <v>2019</v>
      </c>
      <c r="C76" s="37" t="str">
        <f t="shared" si="2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4"/>
        <v>1170</v>
      </c>
      <c r="I76" s="15"/>
      <c r="J76" s="15"/>
      <c r="K76" s="29"/>
      <c r="L76" s="71"/>
    </row>
    <row r="77" spans="1:12" ht="12.75" customHeight="1" x14ac:dyDescent="0.2">
      <c r="A77" s="81">
        <f t="shared" si="0"/>
        <v>5</v>
      </c>
      <c r="B77" s="37">
        <f t="shared" si="1"/>
        <v>2019</v>
      </c>
      <c r="C77" s="37" t="str">
        <f t="shared" si="2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4"/>
        <v>0</v>
      </c>
      <c r="I77" s="29"/>
      <c r="J77" s="29"/>
      <c r="K77" s="29"/>
      <c r="L77" s="71"/>
    </row>
    <row r="78" spans="1:12" ht="12.75" customHeight="1" x14ac:dyDescent="0.2">
      <c r="A78" s="81">
        <f t="shared" si="0"/>
        <v>6</v>
      </c>
      <c r="B78" s="37">
        <f t="shared" si="1"/>
        <v>2019</v>
      </c>
      <c r="C78" s="37" t="str">
        <f t="shared" si="2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4"/>
        <v>1149.31</v>
      </c>
      <c r="I78" s="32"/>
      <c r="J78" s="32"/>
      <c r="K78" s="29"/>
      <c r="L78" s="71"/>
    </row>
    <row r="79" spans="1:12" ht="12.75" customHeight="1" x14ac:dyDescent="0.2">
      <c r="A79" s="81">
        <f t="shared" si="0"/>
        <v>6</v>
      </c>
      <c r="B79" s="37">
        <f t="shared" si="1"/>
        <v>2019</v>
      </c>
      <c r="C79" s="37" t="str">
        <f t="shared" si="2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4"/>
        <v>1170</v>
      </c>
      <c r="I79" s="36"/>
      <c r="J79" s="36"/>
      <c r="K79" s="29"/>
      <c r="L79" s="71"/>
    </row>
    <row r="80" spans="1:12" ht="12.75" customHeight="1" x14ac:dyDescent="0.2">
      <c r="A80" s="82">
        <f t="shared" si="0"/>
        <v>6</v>
      </c>
      <c r="B80" s="47">
        <f t="shared" si="1"/>
        <v>2019</v>
      </c>
      <c r="C80" s="47" t="str">
        <f t="shared" si="2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4"/>
        <v>0</v>
      </c>
      <c r="I80" s="49"/>
      <c r="J80" s="49"/>
      <c r="K80" s="49"/>
      <c r="L80" s="78"/>
    </row>
    <row r="81" spans="1:16" ht="12.75" customHeight="1" x14ac:dyDescent="0.2">
      <c r="A81" s="80">
        <f t="shared" si="0"/>
        <v>7</v>
      </c>
      <c r="B81" s="42">
        <f t="shared" si="1"/>
        <v>2019</v>
      </c>
      <c r="C81" s="42" t="str">
        <f t="shared" si="2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4"/>
        <v>1149.31</v>
      </c>
      <c r="I81" s="33"/>
      <c r="J81" s="33"/>
      <c r="K81" s="33"/>
      <c r="L81" s="75"/>
    </row>
    <row r="82" spans="1:16" ht="12.75" customHeight="1" x14ac:dyDescent="0.2">
      <c r="A82" s="81">
        <f t="shared" si="0"/>
        <v>7</v>
      </c>
      <c r="B82" s="37">
        <f t="shared" si="1"/>
        <v>2019</v>
      </c>
      <c r="C82" s="37" t="str">
        <f t="shared" si="2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4"/>
        <v>1170</v>
      </c>
      <c r="I82" s="29"/>
      <c r="J82" s="29"/>
      <c r="K82" s="29"/>
      <c r="L82" s="71"/>
    </row>
    <row r="83" spans="1:16" ht="12.75" customHeight="1" x14ac:dyDescent="0.2">
      <c r="A83" s="81">
        <f t="shared" si="0"/>
        <v>7</v>
      </c>
      <c r="B83" s="37">
        <f t="shared" si="1"/>
        <v>2019</v>
      </c>
      <c r="C83" s="37" t="str">
        <f t="shared" si="2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4"/>
        <v>0</v>
      </c>
      <c r="I83" s="29"/>
      <c r="J83" s="29"/>
      <c r="K83" s="29"/>
      <c r="L83" s="71"/>
    </row>
    <row r="84" spans="1:16" ht="12.75" customHeight="1" x14ac:dyDescent="0.2">
      <c r="A84" s="81">
        <f t="shared" si="0"/>
        <v>8</v>
      </c>
      <c r="B84" s="37">
        <f t="shared" si="1"/>
        <v>2019</v>
      </c>
      <c r="C84" s="37" t="str">
        <f t="shared" si="2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4"/>
        <v>1149.31</v>
      </c>
      <c r="I84" s="32"/>
      <c r="J84" s="32"/>
      <c r="K84" s="29"/>
      <c r="L84" s="71"/>
      <c r="P84" s="30"/>
    </row>
    <row r="85" spans="1:16" ht="12.75" customHeight="1" x14ac:dyDescent="0.2">
      <c r="A85" s="81">
        <f t="shared" si="0"/>
        <v>8</v>
      </c>
      <c r="B85" s="37">
        <f t="shared" si="1"/>
        <v>2019</v>
      </c>
      <c r="C85" s="37" t="str">
        <f t="shared" si="2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4"/>
        <v>1170</v>
      </c>
      <c r="I85" s="36"/>
      <c r="J85" s="36"/>
      <c r="K85" s="29"/>
      <c r="L85" s="71"/>
      <c r="P85" s="30"/>
    </row>
    <row r="86" spans="1:16" ht="12.75" customHeight="1" x14ac:dyDescent="0.2">
      <c r="A86" s="81">
        <f t="shared" si="0"/>
        <v>7</v>
      </c>
      <c r="B86" s="37">
        <f t="shared" si="1"/>
        <v>2019</v>
      </c>
      <c r="C86" s="37" t="str">
        <f t="shared" si="2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si="4"/>
        <v>0</v>
      </c>
      <c r="I86" s="29"/>
      <c r="J86" s="29"/>
      <c r="K86" s="29"/>
      <c r="L86" s="71"/>
    </row>
    <row r="87" spans="1:16" ht="12.75" customHeight="1" x14ac:dyDescent="0.2">
      <c r="F87" s="36"/>
      <c r="G87" s="36"/>
      <c r="H87" s="36"/>
    </row>
    <row r="88" spans="1:16" ht="12.75" customHeight="1" x14ac:dyDescent="0.2">
      <c r="F88" s="36"/>
      <c r="G88" s="36"/>
      <c r="H88" s="36"/>
    </row>
    <row r="89" spans="1:16" ht="12.75" customHeight="1" x14ac:dyDescent="0.2">
      <c r="A89" s="161" t="s">
        <v>185</v>
      </c>
      <c r="B89" s="36"/>
      <c r="C89" s="36"/>
      <c r="D89" s="162" t="s">
        <v>133</v>
      </c>
      <c r="E89" s="36"/>
      <c r="F89" s="36"/>
      <c r="G89" s="36"/>
      <c r="H89" s="36"/>
    </row>
    <row r="90" spans="1:16" ht="12.75" customHeight="1" x14ac:dyDescent="0.2">
      <c r="A90" s="80">
        <f t="shared" ref="A90:A114" si="5">MONTH(D90)</f>
        <v>8</v>
      </c>
      <c r="B90" s="42">
        <f t="shared" ref="B90:B114" si="6">YEAR(D90)</f>
        <v>2021</v>
      </c>
      <c r="C90" s="42" t="str">
        <f t="shared" ref="C90:C114" si="7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25">
      <c r="A91" s="81">
        <f t="shared" si="5"/>
        <v>8</v>
      </c>
      <c r="B91" s="37">
        <f t="shared" si="6"/>
        <v>2021</v>
      </c>
      <c r="C91" s="37" t="str">
        <f t="shared" si="7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25">
      <c r="A92" s="81">
        <f t="shared" si="5"/>
        <v>8</v>
      </c>
      <c r="B92" s="37">
        <f t="shared" si="6"/>
        <v>2021</v>
      </c>
      <c r="C92" s="37" t="str">
        <f t="shared" si="7"/>
        <v/>
      </c>
      <c r="D92" s="28">
        <v>44423</v>
      </c>
      <c r="E92" s="70" t="s">
        <v>68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">
      <c r="A93" s="81">
        <f t="shared" si="5"/>
        <v>7</v>
      </c>
      <c r="B93" s="37">
        <f t="shared" si="6"/>
        <v>2021</v>
      </c>
      <c r="C93" s="37" t="str">
        <f t="shared" si="7"/>
        <v>Income: 1</v>
      </c>
      <c r="D93" s="28">
        <v>44396</v>
      </c>
      <c r="E93" s="29" t="s">
        <v>82</v>
      </c>
      <c r="F93" s="36">
        <v>2000</v>
      </c>
      <c r="G93" s="36"/>
      <c r="H93" s="38">
        <f t="shared" ref="H93:H94" si="8"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">
      <c r="A94" s="81">
        <f t="shared" si="5"/>
        <v>7</v>
      </c>
      <c r="B94" s="37">
        <f t="shared" si="6"/>
        <v>2021</v>
      </c>
      <c r="C94" s="37" t="str">
        <f t="shared" si="7"/>
        <v>Income: 1</v>
      </c>
      <c r="D94" s="28">
        <v>44397</v>
      </c>
      <c r="E94" s="29" t="s">
        <v>82</v>
      </c>
      <c r="F94" s="36">
        <v>250</v>
      </c>
      <c r="G94" s="36"/>
      <c r="H94" s="38">
        <f t="shared" si="8"/>
        <v>200</v>
      </c>
      <c r="I94" s="29"/>
      <c r="J94" s="29"/>
      <c r="K94" s="15"/>
      <c r="L94" s="71"/>
      <c r="M94" s="15"/>
      <c r="N94" s="36"/>
    </row>
    <row r="95" spans="1:16" ht="12.75" customHeight="1" x14ac:dyDescent="0.2">
      <c r="A95" s="81">
        <f t="shared" si="5"/>
        <v>9</v>
      </c>
      <c r="B95" s="37">
        <f t="shared" si="6"/>
        <v>2021</v>
      </c>
      <c r="C95" s="37" t="str">
        <f t="shared" si="7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">
      <c r="A96" s="81">
        <f t="shared" si="5"/>
        <v>9</v>
      </c>
      <c r="B96" s="37">
        <f t="shared" si="6"/>
        <v>2021</v>
      </c>
      <c r="C96" s="37" t="str">
        <f t="shared" si="7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">
      <c r="A97" s="81">
        <f t="shared" si="5"/>
        <v>10</v>
      </c>
      <c r="B97" s="37">
        <f t="shared" si="6"/>
        <v>2021</v>
      </c>
      <c r="C97" s="37" t="str">
        <f t="shared" si="7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x14ac:dyDescent="0.2">
      <c r="A98" s="82">
        <f t="shared" si="5"/>
        <v>9</v>
      </c>
      <c r="B98" s="47">
        <f t="shared" si="6"/>
        <v>2021</v>
      </c>
      <c r="C98" s="47" t="str">
        <f t="shared" si="7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14" si="9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">
      <c r="A99" s="80">
        <f t="shared" si="5"/>
        <v>11</v>
      </c>
      <c r="B99" s="42">
        <f t="shared" si="6"/>
        <v>2021</v>
      </c>
      <c r="C99" s="42" t="str">
        <f t="shared" si="7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9"/>
        <v>2000</v>
      </c>
      <c r="I99" s="33"/>
      <c r="J99" s="33"/>
      <c r="K99" s="33"/>
      <c r="L99" s="75"/>
      <c r="M99" s="29"/>
    </row>
    <row r="100" spans="1:14" ht="12.75" customHeight="1" x14ac:dyDescent="0.2">
      <c r="A100" s="81">
        <f t="shared" si="5"/>
        <v>10</v>
      </c>
      <c r="B100" s="37">
        <f t="shared" si="6"/>
        <v>2021</v>
      </c>
      <c r="C100" s="37" t="str">
        <f t="shared" si="7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9"/>
        <v>0</v>
      </c>
      <c r="I100" s="29"/>
      <c r="J100" s="29"/>
      <c r="K100" s="29"/>
      <c r="L100" s="71"/>
    </row>
    <row r="101" spans="1:14" ht="12.75" customHeight="1" x14ac:dyDescent="0.2">
      <c r="A101" s="81">
        <f t="shared" si="5"/>
        <v>12</v>
      </c>
      <c r="B101" s="37">
        <f t="shared" si="6"/>
        <v>2021</v>
      </c>
      <c r="C101" s="37" t="str">
        <f t="shared" si="7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9"/>
        <v>2000</v>
      </c>
      <c r="I101" s="29"/>
      <c r="J101" s="29"/>
      <c r="K101" s="29"/>
      <c r="L101" s="71"/>
    </row>
    <row r="102" spans="1:14" ht="12.75" customHeight="1" x14ac:dyDescent="0.2">
      <c r="A102" s="81">
        <f t="shared" si="5"/>
        <v>11</v>
      </c>
      <c r="B102" s="37">
        <f t="shared" si="6"/>
        <v>2021</v>
      </c>
      <c r="C102" s="37" t="str">
        <f t="shared" si="7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9"/>
        <v>0</v>
      </c>
      <c r="I102" s="29"/>
      <c r="J102" s="29"/>
      <c r="K102" s="29"/>
      <c r="L102" s="71"/>
    </row>
    <row r="103" spans="1:14" ht="12.75" customHeight="1" x14ac:dyDescent="0.2">
      <c r="A103" s="81">
        <f t="shared" si="5"/>
        <v>1</v>
      </c>
      <c r="B103" s="37">
        <f t="shared" si="6"/>
        <v>2022</v>
      </c>
      <c r="C103" s="37" t="str">
        <f t="shared" si="7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9"/>
        <v>2000</v>
      </c>
      <c r="I103" s="32"/>
      <c r="J103" s="32"/>
      <c r="K103" s="29"/>
      <c r="L103" s="71"/>
    </row>
    <row r="104" spans="1:14" ht="12.75" customHeight="1" x14ac:dyDescent="0.2">
      <c r="A104" s="81">
        <f t="shared" si="5"/>
        <v>12</v>
      </c>
      <c r="B104" s="37">
        <f t="shared" si="6"/>
        <v>2021</v>
      </c>
      <c r="C104" s="37" t="str">
        <f t="shared" si="7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9"/>
        <v>0</v>
      </c>
      <c r="I104" s="36"/>
      <c r="J104" s="36"/>
      <c r="K104" s="29"/>
      <c r="L104" s="71"/>
    </row>
    <row r="105" spans="1:14" ht="12.75" customHeight="1" x14ac:dyDescent="0.2">
      <c r="A105" s="80">
        <f t="shared" si="5"/>
        <v>2</v>
      </c>
      <c r="B105" s="42">
        <f t="shared" si="6"/>
        <v>2021</v>
      </c>
      <c r="C105" s="42" t="str">
        <f t="shared" si="7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9"/>
        <v>2000</v>
      </c>
      <c r="I105" s="33"/>
      <c r="J105" s="33"/>
      <c r="K105" s="33"/>
      <c r="L105" s="75"/>
    </row>
    <row r="106" spans="1:14" ht="12.75" customHeight="1" x14ac:dyDescent="0.2">
      <c r="A106" s="81">
        <f t="shared" si="5"/>
        <v>1</v>
      </c>
      <c r="B106" s="37">
        <f t="shared" si="6"/>
        <v>2022</v>
      </c>
      <c r="C106" s="37" t="str">
        <f t="shared" si="7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9"/>
        <v>0</v>
      </c>
      <c r="I106" s="29"/>
      <c r="J106" s="29"/>
      <c r="K106" s="29"/>
      <c r="L106" s="71"/>
    </row>
    <row r="107" spans="1:14" ht="12.75" customHeight="1" x14ac:dyDescent="0.2">
      <c r="A107" s="81">
        <f t="shared" si="5"/>
        <v>3</v>
      </c>
      <c r="B107" s="37">
        <f t="shared" si="6"/>
        <v>2022</v>
      </c>
      <c r="C107" s="37" t="str">
        <f t="shared" si="7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9"/>
        <v>2000</v>
      </c>
      <c r="I107" s="29"/>
      <c r="J107" s="29"/>
      <c r="K107" s="29"/>
      <c r="L107" s="71"/>
    </row>
    <row r="108" spans="1:14" ht="12.75" customHeight="1" x14ac:dyDescent="0.2">
      <c r="A108" s="81">
        <f t="shared" si="5"/>
        <v>2</v>
      </c>
      <c r="B108" s="37">
        <f t="shared" si="6"/>
        <v>2022</v>
      </c>
      <c r="C108" s="37" t="str">
        <f t="shared" si="7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9"/>
        <v>0</v>
      </c>
      <c r="I108" s="29"/>
      <c r="J108" s="29"/>
      <c r="K108" s="29"/>
      <c r="L108" s="71"/>
    </row>
    <row r="109" spans="1:14" ht="12.75" customHeight="1" x14ac:dyDescent="0.2">
      <c r="A109" s="81">
        <f t="shared" si="5"/>
        <v>4</v>
      </c>
      <c r="B109" s="37">
        <f t="shared" si="6"/>
        <v>2022</v>
      </c>
      <c r="C109" s="37" t="str">
        <f t="shared" si="7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9"/>
        <v>2000</v>
      </c>
      <c r="I109" s="32"/>
      <c r="J109" s="32"/>
      <c r="K109" s="29"/>
      <c r="L109" s="71"/>
    </row>
    <row r="110" spans="1:14" ht="12.75" customHeight="1" thickBot="1" x14ac:dyDescent="0.25">
      <c r="A110" s="81">
        <f t="shared" si="5"/>
        <v>3</v>
      </c>
      <c r="B110" s="102">
        <f t="shared" si="6"/>
        <v>2022</v>
      </c>
      <c r="C110" s="102" t="str">
        <f t="shared" si="7"/>
        <v>Income: 1</v>
      </c>
      <c r="D110" s="103">
        <v>44649</v>
      </c>
      <c r="E110" s="104" t="s">
        <v>51</v>
      </c>
      <c r="F110" s="105">
        <v>2000</v>
      </c>
      <c r="G110" s="105"/>
      <c r="H110" s="107">
        <f t="shared" si="9"/>
        <v>0</v>
      </c>
      <c r="I110" s="105"/>
      <c r="J110" s="105"/>
      <c r="K110" s="104"/>
      <c r="L110" s="108"/>
    </row>
    <row r="111" spans="1:14" ht="12.75" customHeight="1" x14ac:dyDescent="0.2">
      <c r="A111" s="109">
        <f t="shared" si="5"/>
        <v>5</v>
      </c>
      <c r="B111" s="110">
        <f t="shared" si="6"/>
        <v>2022</v>
      </c>
      <c r="C111" s="110" t="str">
        <f t="shared" si="7"/>
        <v>Rent: 1</v>
      </c>
      <c r="D111" s="111" t="str">
        <f>MONTH(D110)+2 &amp; "/1/" &amp; YEAR(D110)</f>
        <v>5/1/2022</v>
      </c>
      <c r="E111" s="112" t="str">
        <f>"Rent: "&amp;LOOKUP(A111-1, Months, TextMonths)&amp;" '"&amp;B111</f>
        <v>Rent: May '2022</v>
      </c>
      <c r="F111" s="113"/>
      <c r="G111" s="113">
        <v>2000</v>
      </c>
      <c r="H111" s="115">
        <f t="shared" si="9"/>
        <v>2000</v>
      </c>
      <c r="I111" s="116"/>
      <c r="J111" s="116"/>
      <c r="K111" s="116"/>
      <c r="L111" s="117"/>
    </row>
    <row r="112" spans="1:14" ht="12.75" customHeight="1" x14ac:dyDescent="0.2">
      <c r="A112" s="118">
        <f t="shared" si="5"/>
        <v>4</v>
      </c>
      <c r="B112" s="102">
        <f t="shared" si="6"/>
        <v>2022</v>
      </c>
      <c r="C112" s="102" t="str">
        <f t="shared" si="7"/>
        <v>Income: 1</v>
      </c>
      <c r="D112" s="103">
        <v>44680</v>
      </c>
      <c r="E112" s="104" t="s">
        <v>51</v>
      </c>
      <c r="F112" s="105">
        <v>2000</v>
      </c>
      <c r="G112" s="105"/>
      <c r="H112" s="107">
        <f t="shared" si="9"/>
        <v>0</v>
      </c>
      <c r="I112" s="122"/>
      <c r="J112" s="122"/>
      <c r="K112" s="122"/>
      <c r="L112" s="123"/>
    </row>
    <row r="113" spans="1:12" ht="12.75" customHeight="1" x14ac:dyDescent="0.2">
      <c r="A113" s="118">
        <f t="shared" si="5"/>
        <v>6</v>
      </c>
      <c r="B113" s="102">
        <f t="shared" si="6"/>
        <v>2022</v>
      </c>
      <c r="C113" s="102" t="str">
        <f t="shared" si="7"/>
        <v>Rent: 1</v>
      </c>
      <c r="D113" s="120" t="str">
        <f>MONTH(D112)+2 &amp; "/1/" &amp; YEAR(D112)</f>
        <v>6/1/2022</v>
      </c>
      <c r="E113" s="121" t="str">
        <f>"Rent: "&amp;LOOKUP(A113-1, Months, TextMonths)&amp;" '"&amp;B113</f>
        <v>Rent: Jun '2022</v>
      </c>
      <c r="F113" s="105"/>
      <c r="G113" s="105">
        <v>2000</v>
      </c>
      <c r="H113" s="107">
        <f t="shared" si="9"/>
        <v>2000</v>
      </c>
      <c r="I113" s="122"/>
      <c r="J113" s="122"/>
      <c r="K113" s="122"/>
      <c r="L113" s="123"/>
    </row>
    <row r="114" spans="1:12" ht="12.75" customHeight="1" x14ac:dyDescent="0.2">
      <c r="A114" s="118">
        <f t="shared" si="5"/>
        <v>5</v>
      </c>
      <c r="B114" s="102">
        <f t="shared" si="6"/>
        <v>2022</v>
      </c>
      <c r="C114" s="102" t="str">
        <f t="shared" si="7"/>
        <v>Income: 1</v>
      </c>
      <c r="D114" s="103">
        <v>44712</v>
      </c>
      <c r="E114" s="104" t="s">
        <v>51</v>
      </c>
      <c r="F114" s="105">
        <v>2000</v>
      </c>
      <c r="G114" s="105"/>
      <c r="H114" s="107">
        <f t="shared" si="9"/>
        <v>0</v>
      </c>
      <c r="I114" s="122"/>
      <c r="J114" s="122"/>
      <c r="K114" s="122"/>
      <c r="L114" s="123"/>
    </row>
    <row r="115" spans="1:12" ht="12.75" customHeight="1" x14ac:dyDescent="0.2">
      <c r="A115" s="118">
        <f t="shared" ref="A115:A116" si="10">MONTH(D115)</f>
        <v>7</v>
      </c>
      <c r="B115" s="102">
        <f t="shared" ref="B115:B116" si="11">YEAR(D115)</f>
        <v>2022</v>
      </c>
      <c r="C115" s="102" t="str">
        <f t="shared" ref="C115:C116" si="12">IFERROR("Rent: "&amp;FIND("Rent",E115),IFERROR("Priv Tax: "&amp;FIND("Tax",E115), IFERROR("Income: "&amp;FIND("Payment",E115,1),"")))</f>
        <v>Rent: 1</v>
      </c>
      <c r="D115" s="120" t="str">
        <f>MONTH(D114)+2 &amp; "/1/" &amp; YEAR(D114)</f>
        <v>7/1/2022</v>
      </c>
      <c r="E115" s="121" t="str">
        <f>"Rent: "&amp;LOOKUP(A115-1, Months, TextMonths)&amp;" '"&amp;B115</f>
        <v>Rent: Jul '2022</v>
      </c>
      <c r="F115" s="105"/>
      <c r="G115" s="105">
        <v>2000</v>
      </c>
      <c r="H115" s="107">
        <f t="shared" ref="H115:H116" si="13">H114+G115-F115</f>
        <v>2000</v>
      </c>
      <c r="I115" s="136"/>
      <c r="J115" s="136"/>
      <c r="K115" s="122"/>
      <c r="L115" s="123"/>
    </row>
    <row r="116" spans="1:12" ht="12.75" customHeight="1" thickBot="1" x14ac:dyDescent="0.25">
      <c r="A116" s="124">
        <f t="shared" si="10"/>
        <v>6</v>
      </c>
      <c r="B116" s="125">
        <f t="shared" si="11"/>
        <v>2022</v>
      </c>
      <c r="C116" s="125" t="str">
        <f t="shared" si="12"/>
        <v>Income: 1</v>
      </c>
      <c r="D116" s="141">
        <v>44742</v>
      </c>
      <c r="E116" s="131" t="s">
        <v>51</v>
      </c>
      <c r="F116" s="128">
        <v>2000</v>
      </c>
      <c r="G116" s="128"/>
      <c r="H116" s="130">
        <f t="shared" si="13"/>
        <v>0</v>
      </c>
      <c r="I116" s="128"/>
      <c r="J116" s="128"/>
      <c r="K116" s="139"/>
      <c r="L116" s="140"/>
    </row>
    <row r="117" spans="1:12" ht="12.75" customHeight="1" x14ac:dyDescent="0.2">
      <c r="A117" s="102">
        <f t="shared" ref="A117:A122" si="14">MONTH(D117)</f>
        <v>8</v>
      </c>
      <c r="B117" s="102">
        <f t="shared" ref="B117:B122" si="15">YEAR(D117)</f>
        <v>2022</v>
      </c>
      <c r="C117" s="102" t="str">
        <f t="shared" ref="C117:C122" si="16">IFERROR("Rent: "&amp;FIND("Rent",E117),IFERROR("Priv Tax: "&amp;FIND("Tax",E117), IFERROR("Income: "&amp;FIND("Payment",E117,1),"")))</f>
        <v>Rent: 1</v>
      </c>
      <c r="D117" s="120" t="str">
        <f>MONTH(D116)+2 &amp; "/1/" &amp; YEAR(D116)</f>
        <v>8/1/2022</v>
      </c>
      <c r="E117" s="121" t="str">
        <f>"Rent: "&amp;LOOKUP(A117-1, Months, TextMonths)&amp;" '"&amp;B117</f>
        <v>Rent: Aug '2022</v>
      </c>
      <c r="F117" s="105"/>
      <c r="G117" s="105">
        <v>2075</v>
      </c>
      <c r="H117" s="107">
        <f t="shared" ref="H117:H121" si="17">H116+G117-F117</f>
        <v>2075</v>
      </c>
      <c r="I117" s="122"/>
    </row>
    <row r="118" spans="1:12" ht="12.75" customHeight="1" x14ac:dyDescent="0.2">
      <c r="A118" s="102">
        <f t="shared" si="14"/>
        <v>8</v>
      </c>
      <c r="B118" s="102">
        <f t="shared" si="15"/>
        <v>2022</v>
      </c>
      <c r="C118" s="102" t="str">
        <f t="shared" si="16"/>
        <v>Income: 1</v>
      </c>
      <c r="D118" s="103">
        <v>44774</v>
      </c>
      <c r="E118" s="104" t="s">
        <v>51</v>
      </c>
      <c r="F118" s="105">
        <v>2075</v>
      </c>
      <c r="G118" s="105"/>
      <c r="H118" s="107">
        <f t="shared" si="17"/>
        <v>0</v>
      </c>
      <c r="I118" s="122"/>
    </row>
    <row r="119" spans="1:12" ht="12.75" customHeight="1" x14ac:dyDescent="0.2">
      <c r="A119" s="118">
        <f t="shared" si="14"/>
        <v>9</v>
      </c>
      <c r="B119" s="102">
        <f t="shared" si="15"/>
        <v>2022</v>
      </c>
      <c r="C119" s="102" t="str">
        <f t="shared" si="16"/>
        <v>Rent: 1</v>
      </c>
      <c r="D119" s="120" t="str">
        <f>MONTH(D118)+1 &amp; "/1/" &amp; YEAR(D118)</f>
        <v>9/1/2022</v>
      </c>
      <c r="E119" s="121" t="str">
        <f>"Rent: "&amp;LOOKUP(A119-1, Months, TextMonths)&amp;" '"&amp;B119</f>
        <v>Rent: Sep '2022</v>
      </c>
      <c r="F119" s="105"/>
      <c r="G119" s="105">
        <v>2075</v>
      </c>
      <c r="H119" s="107">
        <f t="shared" si="17"/>
        <v>2075</v>
      </c>
      <c r="I119" s="122"/>
      <c r="J119" s="122"/>
      <c r="K119" s="122"/>
      <c r="L119" s="123"/>
    </row>
    <row r="120" spans="1:12" ht="12.75" customHeight="1" x14ac:dyDescent="0.2">
      <c r="A120" s="118">
        <f t="shared" si="14"/>
        <v>8</v>
      </c>
      <c r="B120" s="102">
        <f t="shared" si="15"/>
        <v>2022</v>
      </c>
      <c r="C120" s="102" t="str">
        <f t="shared" si="16"/>
        <v>Income: 1</v>
      </c>
      <c r="D120" s="103">
        <v>44803</v>
      </c>
      <c r="E120" s="104" t="s">
        <v>51</v>
      </c>
      <c r="F120" s="105">
        <v>2075</v>
      </c>
      <c r="G120" s="105"/>
      <c r="H120" s="107">
        <f t="shared" si="17"/>
        <v>0</v>
      </c>
      <c r="I120" s="122"/>
      <c r="J120" s="122"/>
      <c r="K120" s="122"/>
      <c r="L120" s="123"/>
    </row>
    <row r="121" spans="1:12" ht="12.75" customHeight="1" x14ac:dyDescent="0.2">
      <c r="A121" s="118">
        <f t="shared" si="14"/>
        <v>10</v>
      </c>
      <c r="B121" s="102">
        <f t="shared" si="15"/>
        <v>2022</v>
      </c>
      <c r="C121" s="102" t="str">
        <f t="shared" si="16"/>
        <v>Rent: 1</v>
      </c>
      <c r="D121" s="120" t="str">
        <f>MONTH(D120)+2 &amp; "/1/" &amp; YEAR(D120)</f>
        <v>10/1/2022</v>
      </c>
      <c r="E121" s="121" t="str">
        <f>"Rent: "&amp;LOOKUP(A121-1, Months, TextMonths)&amp;" '"&amp;B121</f>
        <v>Rent: Oct '2022</v>
      </c>
      <c r="F121" s="105"/>
      <c r="G121" s="105">
        <v>2075</v>
      </c>
      <c r="H121" s="107">
        <f t="shared" si="17"/>
        <v>2075</v>
      </c>
      <c r="I121" s="136"/>
      <c r="J121" s="136"/>
      <c r="K121" s="122"/>
      <c r="L121" s="123"/>
    </row>
    <row r="122" spans="1:12" ht="12.75" customHeight="1" thickBot="1" x14ac:dyDescent="0.25">
      <c r="A122" s="124">
        <f t="shared" si="14"/>
        <v>9</v>
      </c>
      <c r="B122" s="125">
        <f t="shared" si="15"/>
        <v>2022</v>
      </c>
      <c r="C122" s="125" t="str">
        <f t="shared" si="16"/>
        <v>Income: 1</v>
      </c>
      <c r="D122" s="141">
        <v>44833</v>
      </c>
      <c r="E122" s="131" t="s">
        <v>51</v>
      </c>
      <c r="F122" s="128">
        <v>2075</v>
      </c>
      <c r="G122" s="128"/>
      <c r="H122" s="130">
        <f>H121+G122-F122</f>
        <v>0</v>
      </c>
      <c r="I122" s="128"/>
      <c r="J122" s="128"/>
      <c r="K122" s="139"/>
      <c r="L122" s="140"/>
    </row>
    <row r="123" spans="1:12" ht="12.75" customHeight="1" x14ac:dyDescent="0.2">
      <c r="A123" s="109">
        <f t="shared" ref="A123:A126" si="18">MONTH(D123)</f>
        <v>11</v>
      </c>
      <c r="B123" s="110">
        <f t="shared" ref="B123:B126" si="19">YEAR(D123)</f>
        <v>2022</v>
      </c>
      <c r="C123" s="110" t="str">
        <f t="shared" ref="C123:C126" si="20">IFERROR("Rent: "&amp;FIND("Rent",E123),IFERROR("Priv Tax: "&amp;FIND("Tax",E123), IFERROR("Income: "&amp;FIND("Payment",E123,1),"")))</f>
        <v>Rent: 1</v>
      </c>
      <c r="D123" s="111" t="str">
        <f>MONTH(D122)+2 &amp; "/1/" &amp; YEAR(D122)</f>
        <v>11/1/2022</v>
      </c>
      <c r="E123" s="112" t="str">
        <f>"Rent: "&amp;LOOKUP(A123-1, Months, TextMonths)&amp;" '"&amp;B123</f>
        <v>Rent: Nov '2022</v>
      </c>
      <c r="F123" s="113"/>
      <c r="G123" s="113">
        <v>2075</v>
      </c>
      <c r="H123" s="115">
        <f t="shared" ref="H123:H126" si="21">H122+G123-F123</f>
        <v>2075</v>
      </c>
      <c r="I123" s="116"/>
      <c r="J123" s="116"/>
      <c r="K123" s="116"/>
      <c r="L123" s="117"/>
    </row>
    <row r="124" spans="1:12" ht="12.75" customHeight="1" x14ac:dyDescent="0.2">
      <c r="A124" s="118">
        <f t="shared" si="18"/>
        <v>10</v>
      </c>
      <c r="B124" s="102">
        <f t="shared" si="19"/>
        <v>2022</v>
      </c>
      <c r="C124" s="102" t="str">
        <f t="shared" si="20"/>
        <v>Income: 1</v>
      </c>
      <c r="D124" s="103">
        <v>44865</v>
      </c>
      <c r="E124" s="104" t="s">
        <v>51</v>
      </c>
      <c r="F124" s="105">
        <v>2075</v>
      </c>
      <c r="G124" s="105"/>
      <c r="H124" s="107">
        <f t="shared" si="21"/>
        <v>0</v>
      </c>
      <c r="I124" s="122"/>
      <c r="J124" s="122"/>
      <c r="K124" s="122"/>
      <c r="L124" s="123"/>
    </row>
    <row r="125" spans="1:12" ht="12.75" customHeight="1" x14ac:dyDescent="0.2">
      <c r="A125" s="118">
        <f t="shared" si="18"/>
        <v>12</v>
      </c>
      <c r="B125" s="102">
        <f t="shared" si="19"/>
        <v>2022</v>
      </c>
      <c r="C125" s="102" t="str">
        <f t="shared" si="20"/>
        <v>Rent: 1</v>
      </c>
      <c r="D125" s="120" t="str">
        <f>MONTH(D124)+2 &amp; "/1/" &amp; YEAR(D124)</f>
        <v>12/1/2022</v>
      </c>
      <c r="E125" s="121" t="str">
        <f>"Rent: "&amp;LOOKUP(A125-1, Months, TextMonths)&amp;" '"&amp;B125</f>
        <v>Rent: Dec '2022</v>
      </c>
      <c r="F125" s="105"/>
      <c r="G125" s="105">
        <v>2075</v>
      </c>
      <c r="H125" s="107">
        <f t="shared" si="21"/>
        <v>2075</v>
      </c>
      <c r="I125" s="122"/>
      <c r="J125" s="122"/>
      <c r="K125" s="122"/>
      <c r="L125" s="123"/>
    </row>
    <row r="126" spans="1:12" ht="12.75" customHeight="1" x14ac:dyDescent="0.2">
      <c r="A126" s="118">
        <f t="shared" si="18"/>
        <v>11</v>
      </c>
      <c r="B126" s="102">
        <f t="shared" si="19"/>
        <v>2022</v>
      </c>
      <c r="C126" s="102" t="str">
        <f t="shared" si="20"/>
        <v>Income: 1</v>
      </c>
      <c r="D126" s="103">
        <v>44894</v>
      </c>
      <c r="E126" s="104" t="s">
        <v>51</v>
      </c>
      <c r="F126" s="105">
        <v>2075</v>
      </c>
      <c r="G126" s="105"/>
      <c r="H126" s="107">
        <f t="shared" si="21"/>
        <v>0</v>
      </c>
      <c r="I126" s="122"/>
      <c r="J126" s="122"/>
      <c r="K126" s="122"/>
      <c r="L126" s="123"/>
    </row>
    <row r="127" spans="1:12" ht="12.75" customHeight="1" x14ac:dyDescent="0.2">
      <c r="A127" s="118">
        <f t="shared" ref="A127:A146" si="22">MONTH(D127)</f>
        <v>1</v>
      </c>
      <c r="B127" s="102">
        <f t="shared" ref="B127:B146" si="23">YEAR(D127)</f>
        <v>2023</v>
      </c>
      <c r="C127" s="102" t="str">
        <f t="shared" ref="C127:C146" si="24">IFERROR("Rent: "&amp;FIND("Rent",E127),IFERROR("Priv Tax: "&amp;FIND("Tax",E127), IFERROR("Income: "&amp;FIND("Payment",E127,1),"")))</f>
        <v>Rent: 1</v>
      </c>
      <c r="D127" s="120">
        <v>44927</v>
      </c>
      <c r="E127" s="121" t="str">
        <f>"Rent: "&amp;LOOKUP(A127-1, Months, TextMonths)&amp;" '"&amp;B127</f>
        <v>Rent: Jan '2023</v>
      </c>
      <c r="F127" s="105"/>
      <c r="G127" s="105">
        <v>2075</v>
      </c>
      <c r="H127" s="107">
        <f t="shared" ref="H127:H146" si="25">H126+G127-F127</f>
        <v>2075</v>
      </c>
      <c r="I127" s="136"/>
      <c r="J127" s="136"/>
      <c r="K127" s="122"/>
      <c r="L127" s="123"/>
    </row>
    <row r="128" spans="1:12" ht="12.75" customHeight="1" thickBot="1" x14ac:dyDescent="0.25">
      <c r="A128" s="124">
        <f t="shared" si="22"/>
        <v>12</v>
      </c>
      <c r="B128" s="125">
        <f t="shared" si="23"/>
        <v>2022</v>
      </c>
      <c r="C128" s="125" t="str">
        <f t="shared" si="24"/>
        <v>Income: 1</v>
      </c>
      <c r="D128" s="141">
        <v>44925</v>
      </c>
      <c r="E128" s="131" t="s">
        <v>51</v>
      </c>
      <c r="F128" s="128">
        <v>2075</v>
      </c>
      <c r="G128" s="128"/>
      <c r="H128" s="130">
        <f t="shared" si="25"/>
        <v>0</v>
      </c>
      <c r="I128" s="128"/>
      <c r="J128" s="128"/>
      <c r="K128" s="139"/>
      <c r="L128" s="140"/>
    </row>
    <row r="129" spans="1:12" ht="12.75" customHeight="1" x14ac:dyDescent="0.2">
      <c r="A129" s="222">
        <f t="shared" si="22"/>
        <v>2</v>
      </c>
      <c r="B129" s="223">
        <f t="shared" si="23"/>
        <v>2023</v>
      </c>
      <c r="C129" s="223" t="str">
        <f t="shared" si="24"/>
        <v>Rent: 1</v>
      </c>
      <c r="D129" s="224" t="str">
        <f xml:space="preserve"> "2/1/" &amp; YEAR(D128)+1</f>
        <v>2/1/2023</v>
      </c>
      <c r="E129" s="225" t="str">
        <f>"Rent: "&amp;LOOKUP(A129-1, Months, TextMonths)&amp;" '"&amp;B129</f>
        <v>Rent: Feb '2023</v>
      </c>
      <c r="F129" s="226"/>
      <c r="G129" s="226">
        <v>2150</v>
      </c>
      <c r="H129" s="227">
        <f t="shared" si="25"/>
        <v>2150</v>
      </c>
      <c r="I129" s="116"/>
      <c r="J129" s="116"/>
      <c r="K129" s="116"/>
      <c r="L129" s="117"/>
    </row>
    <row r="130" spans="1:12" ht="12.75" customHeight="1" x14ac:dyDescent="0.2">
      <c r="A130" s="209">
        <f t="shared" si="22"/>
        <v>2</v>
      </c>
      <c r="B130" s="199">
        <f t="shared" si="23"/>
        <v>2023</v>
      </c>
      <c r="C130" s="199" t="str">
        <f t="shared" si="24"/>
        <v>Income: 1</v>
      </c>
      <c r="D130" s="228">
        <v>44984</v>
      </c>
      <c r="E130" s="229" t="s">
        <v>51</v>
      </c>
      <c r="F130" s="210">
        <v>2150</v>
      </c>
      <c r="G130" s="210"/>
      <c r="H130" s="208">
        <f t="shared" si="25"/>
        <v>0</v>
      </c>
      <c r="I130" s="122"/>
      <c r="J130" s="122"/>
      <c r="K130" s="122"/>
      <c r="L130" s="123"/>
    </row>
    <row r="131" spans="1:12" ht="12.75" customHeight="1" x14ac:dyDescent="0.2">
      <c r="A131" s="209">
        <f t="shared" si="22"/>
        <v>3</v>
      </c>
      <c r="B131" s="199">
        <f t="shared" si="23"/>
        <v>2023</v>
      </c>
      <c r="C131" s="199" t="str">
        <f t="shared" si="24"/>
        <v>Rent: 1</v>
      </c>
      <c r="D131" s="203" t="str">
        <f>MONTH(D130)+1 &amp; "/1/" &amp; YEAR(D130)</f>
        <v>3/1/2023</v>
      </c>
      <c r="E131" s="204" t="str">
        <f>"Rent: "&amp;LOOKUP(A131-1, Months, TextMonths)&amp;" '"&amp;B131</f>
        <v>Rent: Mar '2023</v>
      </c>
      <c r="F131" s="210"/>
      <c r="G131" s="210">
        <v>2150</v>
      </c>
      <c r="H131" s="208">
        <f t="shared" si="25"/>
        <v>2150</v>
      </c>
      <c r="I131" s="122"/>
      <c r="J131" s="122"/>
      <c r="K131" s="122"/>
      <c r="L131" s="123"/>
    </row>
    <row r="132" spans="1:12" ht="12.75" customHeight="1" x14ac:dyDescent="0.2">
      <c r="A132" s="209">
        <f t="shared" si="22"/>
        <v>2</v>
      </c>
      <c r="B132" s="199">
        <f t="shared" si="23"/>
        <v>2023</v>
      </c>
      <c r="C132" s="199" t="str">
        <f t="shared" si="24"/>
        <v>Income: 1</v>
      </c>
      <c r="D132" s="228">
        <v>44984</v>
      </c>
      <c r="E132" s="229" t="s">
        <v>51</v>
      </c>
      <c r="F132" s="210">
        <v>2075</v>
      </c>
      <c r="G132" s="210"/>
      <c r="H132" s="208">
        <f t="shared" si="25"/>
        <v>75</v>
      </c>
      <c r="I132" s="122"/>
      <c r="J132" s="122"/>
      <c r="K132" s="122"/>
      <c r="L132" s="123"/>
    </row>
    <row r="133" spans="1:12" ht="12.75" customHeight="1" x14ac:dyDescent="0.2">
      <c r="A133" s="81">
        <f t="shared" si="22"/>
        <v>4</v>
      </c>
      <c r="B133" s="102">
        <f t="shared" si="23"/>
        <v>2023</v>
      </c>
      <c r="C133" s="102" t="str">
        <f t="shared" si="24"/>
        <v>Rent: 1</v>
      </c>
      <c r="D133" s="120" t="str">
        <f>MONTH(D132)+2 &amp; "/1/" &amp; YEAR(D132)</f>
        <v>4/1/2023</v>
      </c>
      <c r="E133" s="121" t="str">
        <f>"Rent: "&amp;LOOKUP(A133-1, Months, TextMonths)&amp;" '"&amp;B133</f>
        <v>Rent: Apr '2023</v>
      </c>
      <c r="F133" s="36"/>
      <c r="G133" s="36">
        <v>2150</v>
      </c>
      <c r="H133" s="107">
        <f t="shared" si="25"/>
        <v>2225</v>
      </c>
    </row>
    <row r="134" spans="1:12" ht="12.75" customHeight="1" thickBot="1" x14ac:dyDescent="0.25">
      <c r="A134" s="82">
        <f t="shared" si="22"/>
        <v>3</v>
      </c>
      <c r="B134" s="248">
        <f t="shared" si="23"/>
        <v>2023</v>
      </c>
      <c r="C134" s="248" t="str">
        <f t="shared" si="24"/>
        <v>Income: 1</v>
      </c>
      <c r="D134" s="48">
        <v>45012</v>
      </c>
      <c r="E134" s="49" t="s">
        <v>51</v>
      </c>
      <c r="F134" s="50">
        <v>2150</v>
      </c>
      <c r="G134" s="50"/>
      <c r="H134" s="249">
        <f t="shared" si="25"/>
        <v>75</v>
      </c>
    </row>
    <row r="135" spans="1:12" ht="12.75" customHeight="1" x14ac:dyDescent="0.2">
      <c r="A135" s="80">
        <f t="shared" si="22"/>
        <v>5</v>
      </c>
      <c r="B135" s="42">
        <f t="shared" si="23"/>
        <v>2023</v>
      </c>
      <c r="C135" s="42" t="str">
        <f t="shared" si="24"/>
        <v>Rent: 1</v>
      </c>
      <c r="D135" s="43" t="str">
        <f>MONTH(D134)+2 &amp; "/1/" &amp; YEAR(D134)</f>
        <v>5/1/2023</v>
      </c>
      <c r="E135" s="44" t="str">
        <f>"Rent: "&amp;LOOKUP(A135-1, Months, TextMonths)&amp;" '"&amp;B135</f>
        <v>Rent: May '2023</v>
      </c>
      <c r="F135" s="147"/>
      <c r="G135" s="147">
        <v>2150</v>
      </c>
      <c r="H135" s="74">
        <f t="shared" si="25"/>
        <v>2225</v>
      </c>
    </row>
    <row r="136" spans="1:12" ht="12.75" customHeight="1" x14ac:dyDescent="0.2">
      <c r="A136" s="81">
        <f t="shared" si="22"/>
        <v>4</v>
      </c>
      <c r="B136" s="102">
        <f t="shared" si="23"/>
        <v>2023</v>
      </c>
      <c r="C136" s="102" t="str">
        <f t="shared" si="24"/>
        <v>Income: 1</v>
      </c>
      <c r="D136" s="28">
        <v>45044</v>
      </c>
      <c r="E136" s="29" t="s">
        <v>51</v>
      </c>
      <c r="F136" s="36">
        <v>2150</v>
      </c>
      <c r="G136" s="36"/>
      <c r="H136" s="107">
        <f t="shared" si="25"/>
        <v>75</v>
      </c>
    </row>
    <row r="137" spans="1:12" ht="12.75" customHeight="1" x14ac:dyDescent="0.2">
      <c r="A137" s="81">
        <f t="shared" si="22"/>
        <v>6</v>
      </c>
      <c r="B137" s="102">
        <f t="shared" si="23"/>
        <v>2023</v>
      </c>
      <c r="C137" s="102" t="str">
        <f t="shared" si="24"/>
        <v>Rent: 1</v>
      </c>
      <c r="D137" s="120" t="str">
        <f>MONTH(D136)+2 &amp; "/1/" &amp; YEAR(D136)</f>
        <v>6/1/2023</v>
      </c>
      <c r="E137" s="121" t="str">
        <f>"Rent: "&amp;LOOKUP(A137-1, Months, TextMonths)&amp;" '"&amp;B137</f>
        <v>Rent: Jun '2023</v>
      </c>
      <c r="F137" s="36"/>
      <c r="G137" s="36">
        <v>2150</v>
      </c>
      <c r="H137" s="107">
        <f t="shared" si="25"/>
        <v>2225</v>
      </c>
    </row>
    <row r="138" spans="1:12" ht="12.75" customHeight="1" x14ac:dyDescent="0.2">
      <c r="A138" s="81">
        <f t="shared" si="22"/>
        <v>5</v>
      </c>
      <c r="B138" s="102">
        <f t="shared" si="23"/>
        <v>2023</v>
      </c>
      <c r="C138" s="102" t="str">
        <f t="shared" si="24"/>
        <v>Income: 1</v>
      </c>
      <c r="D138" s="28">
        <v>45076</v>
      </c>
      <c r="E138" s="29" t="s">
        <v>51</v>
      </c>
      <c r="F138" s="36">
        <v>2150</v>
      </c>
      <c r="G138" s="36"/>
      <c r="H138" s="107">
        <f t="shared" si="25"/>
        <v>75</v>
      </c>
    </row>
    <row r="139" spans="1:12" ht="12.75" customHeight="1" x14ac:dyDescent="0.2">
      <c r="A139" s="81">
        <f t="shared" si="22"/>
        <v>7</v>
      </c>
      <c r="B139" s="102">
        <f t="shared" si="23"/>
        <v>2023</v>
      </c>
      <c r="C139" s="102" t="str">
        <f t="shared" si="24"/>
        <v>Rent: 1</v>
      </c>
      <c r="D139" s="120" t="str">
        <f>MONTH(D138)+2 &amp; "/1/" &amp; YEAR(D138)</f>
        <v>7/1/2023</v>
      </c>
      <c r="E139" s="121" t="str">
        <f>"Rent: "&amp;LOOKUP(A139-1, Months, TextMonths)&amp;" '"&amp;B139</f>
        <v>Rent: Jul '2023</v>
      </c>
      <c r="F139" s="36"/>
      <c r="G139" s="36">
        <v>2150</v>
      </c>
      <c r="H139" s="107">
        <f t="shared" si="25"/>
        <v>2225</v>
      </c>
    </row>
    <row r="140" spans="1:12" ht="12.75" customHeight="1" x14ac:dyDescent="0.2">
      <c r="A140" s="81">
        <f t="shared" si="22"/>
        <v>6</v>
      </c>
      <c r="B140" s="102">
        <f t="shared" si="23"/>
        <v>2023</v>
      </c>
      <c r="C140" s="102" t="str">
        <f t="shared" si="24"/>
        <v>Income: 1</v>
      </c>
      <c r="D140" s="103">
        <v>45106</v>
      </c>
      <c r="E140" s="104" t="s">
        <v>51</v>
      </c>
      <c r="F140" s="105">
        <v>2150</v>
      </c>
      <c r="G140" s="105"/>
      <c r="H140" s="107">
        <f t="shared" si="25"/>
        <v>75</v>
      </c>
    </row>
    <row r="141" spans="1:12" ht="12.75" customHeight="1" x14ac:dyDescent="0.2">
      <c r="A141" s="234">
        <f t="shared" si="22"/>
        <v>8</v>
      </c>
      <c r="B141" s="235">
        <f t="shared" si="23"/>
        <v>2023</v>
      </c>
      <c r="C141" s="235" t="str">
        <f t="shared" si="24"/>
        <v>Rent: 1</v>
      </c>
      <c r="D141" s="236" t="str">
        <f>MONTH(D140)+2 &amp; "/1/" &amp; YEAR(D140)</f>
        <v>8/1/2023</v>
      </c>
      <c r="E141" s="237" t="str">
        <f>"Rent: "&amp;LOOKUP(A141-1, Months, TextMonths)&amp;" '"&amp;B141</f>
        <v>Rent: Aug '2023</v>
      </c>
      <c r="F141" s="238"/>
      <c r="G141" s="238">
        <v>2150</v>
      </c>
      <c r="H141" s="240">
        <f t="shared" si="25"/>
        <v>2225</v>
      </c>
    </row>
    <row r="142" spans="1:12" ht="12.75" customHeight="1" x14ac:dyDescent="0.2">
      <c r="A142" s="241">
        <f t="shared" si="22"/>
        <v>7</v>
      </c>
      <c r="B142" s="102">
        <f t="shared" si="23"/>
        <v>2023</v>
      </c>
      <c r="C142" s="102" t="str">
        <f t="shared" si="24"/>
        <v>Income: 1</v>
      </c>
      <c r="D142" s="103">
        <v>45138</v>
      </c>
      <c r="E142" s="104" t="s">
        <v>51</v>
      </c>
      <c r="F142" s="105">
        <v>2150</v>
      </c>
      <c r="G142" s="105"/>
      <c r="H142" s="107">
        <f t="shared" si="25"/>
        <v>75</v>
      </c>
    </row>
    <row r="143" spans="1:12" ht="12.75" customHeight="1" x14ac:dyDescent="0.2">
      <c r="A143" s="241">
        <f t="shared" si="22"/>
        <v>9</v>
      </c>
      <c r="B143" s="102">
        <f t="shared" si="23"/>
        <v>2023</v>
      </c>
      <c r="C143" s="102" t="str">
        <f t="shared" si="24"/>
        <v>Rent: 1</v>
      </c>
      <c r="D143" s="120" t="str">
        <f>MONTH(D142)+2 &amp; "/1/" &amp; YEAR(D142)</f>
        <v>9/1/2023</v>
      </c>
      <c r="E143" s="121" t="str">
        <f>"Rent: "&amp;LOOKUP(A143-1, Months, TextMonths)&amp;" '"&amp;B143</f>
        <v>Rent: Sep '2023</v>
      </c>
      <c r="F143" s="105"/>
      <c r="G143" s="105">
        <v>2150</v>
      </c>
      <c r="H143" s="107">
        <f t="shared" si="25"/>
        <v>2225</v>
      </c>
    </row>
    <row r="144" spans="1:12" ht="12.75" customHeight="1" x14ac:dyDescent="0.2">
      <c r="A144" s="241">
        <f t="shared" si="22"/>
        <v>8</v>
      </c>
      <c r="B144" s="102">
        <f t="shared" si="23"/>
        <v>2023</v>
      </c>
      <c r="C144" s="102" t="str">
        <f t="shared" si="24"/>
        <v>Income: 1</v>
      </c>
      <c r="D144" s="103">
        <v>45168</v>
      </c>
      <c r="E144" s="104" t="s">
        <v>51</v>
      </c>
      <c r="F144" s="105">
        <v>2150</v>
      </c>
      <c r="G144" s="105"/>
      <c r="H144" s="107">
        <f t="shared" si="25"/>
        <v>75</v>
      </c>
    </row>
    <row r="145" spans="1:8" ht="12.75" customHeight="1" x14ac:dyDescent="0.2">
      <c r="A145" s="241">
        <f t="shared" si="22"/>
        <v>10</v>
      </c>
      <c r="B145" s="102">
        <f t="shared" si="23"/>
        <v>2023</v>
      </c>
      <c r="C145" s="102" t="str">
        <f t="shared" si="24"/>
        <v>Rent: 1</v>
      </c>
      <c r="D145" s="120" t="str">
        <f>MONTH(D144)+2 &amp; "/1/" &amp; YEAR(D144)</f>
        <v>10/1/2023</v>
      </c>
      <c r="E145" s="121" t="str">
        <f>"Rent: "&amp;LOOKUP(A145-1, Months, TextMonths)&amp;" '"&amp;B145</f>
        <v>Rent: Oct '2023</v>
      </c>
      <c r="F145" s="105"/>
      <c r="G145" s="105">
        <v>2150</v>
      </c>
      <c r="H145" s="107">
        <f t="shared" si="25"/>
        <v>2225</v>
      </c>
    </row>
    <row r="146" spans="1:8" ht="12.75" customHeight="1" x14ac:dyDescent="0.2">
      <c r="A146" s="242">
        <f t="shared" si="22"/>
        <v>10</v>
      </c>
      <c r="B146" s="243">
        <f t="shared" si="23"/>
        <v>2023</v>
      </c>
      <c r="C146" s="243" t="str">
        <f t="shared" si="24"/>
        <v>Income: 1</v>
      </c>
      <c r="D146" s="250">
        <v>45201</v>
      </c>
      <c r="E146" s="251" t="s">
        <v>51</v>
      </c>
      <c r="F146" s="246">
        <v>2150</v>
      </c>
      <c r="G146" s="246"/>
      <c r="H146" s="247">
        <f t="shared" si="25"/>
        <v>75</v>
      </c>
    </row>
    <row r="147" spans="1:8" ht="12.75" customHeight="1" x14ac:dyDescent="0.2">
      <c r="F147" s="36"/>
      <c r="G147" s="36"/>
      <c r="H147" s="36"/>
    </row>
    <row r="148" spans="1:8" ht="12.75" customHeight="1" x14ac:dyDescent="0.2">
      <c r="F148" s="36"/>
      <c r="G148" s="36"/>
      <c r="H148" s="36"/>
    </row>
    <row r="149" spans="1:8" ht="12.75" customHeight="1" x14ac:dyDescent="0.2">
      <c r="F149" s="36"/>
      <c r="G149" s="36"/>
      <c r="H149" s="36"/>
    </row>
    <row r="150" spans="1:8" ht="12.75" customHeight="1" x14ac:dyDescent="0.2">
      <c r="F150" s="36"/>
      <c r="G150" s="36"/>
      <c r="H150" s="36"/>
    </row>
    <row r="151" spans="1:8" ht="12.75" customHeight="1" x14ac:dyDescent="0.2">
      <c r="F151" s="36"/>
      <c r="G151" s="36"/>
      <c r="H151" s="36"/>
    </row>
    <row r="152" spans="1:8" ht="12.75" customHeight="1" x14ac:dyDescent="0.2">
      <c r="F152" s="36"/>
      <c r="G152" s="36"/>
      <c r="H152" s="36"/>
    </row>
    <row r="153" spans="1:8" ht="12.75" customHeight="1" x14ac:dyDescent="0.2">
      <c r="F153" s="36"/>
      <c r="G153" s="36"/>
      <c r="H153" s="36"/>
    </row>
    <row r="154" spans="1:8" ht="12.75" customHeight="1" x14ac:dyDescent="0.2">
      <c r="F154" s="36"/>
      <c r="G154" s="36"/>
      <c r="H154" s="36"/>
    </row>
    <row r="155" spans="1:8" ht="12.75" customHeight="1" x14ac:dyDescent="0.2">
      <c r="F155" s="36"/>
      <c r="G155" s="36"/>
      <c r="H155" s="36"/>
    </row>
    <row r="156" spans="1:8" ht="12.75" customHeight="1" x14ac:dyDescent="0.2">
      <c r="F156" s="36"/>
      <c r="G156" s="36"/>
      <c r="H156" s="36"/>
    </row>
    <row r="157" spans="1:8" ht="12.75" customHeight="1" x14ac:dyDescent="0.2">
      <c r="F157" s="36"/>
      <c r="G157" s="36"/>
      <c r="H157" s="36"/>
    </row>
    <row r="158" spans="1:8" ht="12.75" customHeight="1" x14ac:dyDescent="0.2">
      <c r="F158" s="36"/>
      <c r="G158" s="36"/>
      <c r="H158" s="36"/>
    </row>
    <row r="159" spans="1:8" ht="12.75" customHeight="1" x14ac:dyDescent="0.2">
      <c r="F159" s="36"/>
      <c r="G159" s="36"/>
      <c r="H159" s="36"/>
    </row>
    <row r="160" spans="1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workbookViewId="0">
      <pane xSplit="3" ySplit="4" topLeftCell="G5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H2" sqref="H2"/>
    </sheetView>
  </sheetViews>
  <sheetFormatPr defaultColWidth="12.5703125" defaultRowHeight="15" customHeight="1" x14ac:dyDescent="0.2"/>
  <cols>
    <col min="1" max="1" width="13.28515625" customWidth="1"/>
    <col min="2" max="2" width="8.5703125" customWidth="1"/>
    <col min="3" max="3" width="9.7109375" customWidth="1"/>
    <col min="4" max="4" width="10.140625" customWidth="1"/>
    <col min="5" max="5" width="36.28515625" customWidth="1"/>
    <col min="6" max="6" width="13.42578125" customWidth="1"/>
    <col min="7" max="8" width="14.7109375" customWidth="1"/>
    <col min="9" max="9" width="12.140625" customWidth="1"/>
    <col min="10" max="10" width="10.85546875" customWidth="1"/>
    <col min="11" max="11" width="10.28515625" customWidth="1"/>
    <col min="12" max="12" width="12" customWidth="1"/>
    <col min="13" max="13" width="14.85546875" customWidth="1"/>
    <col min="14" max="14" width="12.28515625" customWidth="1"/>
    <col min="15" max="26" width="8.5703125" customWidth="1"/>
  </cols>
  <sheetData>
    <row r="1" spans="1:14" ht="12.75" customHeight="1" x14ac:dyDescent="0.2">
      <c r="B1" s="30" t="s">
        <v>83</v>
      </c>
      <c r="C1" t="s">
        <v>127</v>
      </c>
      <c r="D1" s="163" t="s">
        <v>147</v>
      </c>
      <c r="E1" s="104"/>
      <c r="F1" s="104" t="s">
        <v>175</v>
      </c>
      <c r="G1" s="150" t="s">
        <v>123</v>
      </c>
      <c r="H1" s="34" t="s">
        <v>52</v>
      </c>
      <c r="I1" s="147"/>
      <c r="J1" s="104"/>
    </row>
    <row r="2" spans="1:14" ht="12.75" customHeight="1" x14ac:dyDescent="0.2">
      <c r="D2" t="s">
        <v>146</v>
      </c>
      <c r="E2" s="104"/>
      <c r="F2" s="246">
        <v>1850</v>
      </c>
      <c r="G2" s="151">
        <v>3</v>
      </c>
      <c r="H2" s="105">
        <v>25</v>
      </c>
      <c r="I2" s="153" t="s">
        <v>41</v>
      </c>
      <c r="J2" s="104"/>
    </row>
    <row r="3" spans="1:14" ht="12.75" customHeight="1" x14ac:dyDescent="0.25">
      <c r="A3" s="30">
        <f>COUNTIF(A7:A65524, "&lt;&gt;")</f>
        <v>201</v>
      </c>
      <c r="D3" s="35">
        <f t="array" ref="D3">INDEX(D7:D65523, A3)</f>
        <v>45204</v>
      </c>
      <c r="E3" s="122"/>
      <c r="F3" s="105"/>
      <c r="G3" s="149" t="s">
        <v>40</v>
      </c>
      <c r="H3" s="152">
        <f t="array" ref="H3">INDEX(H7:H65518, A3)</f>
        <v>-1795</v>
      </c>
      <c r="I3" s="154">
        <v>45556</v>
      </c>
      <c r="J3" s="105"/>
      <c r="K3" s="67" t="s">
        <v>65</v>
      </c>
    </row>
    <row r="4" spans="1:14" ht="12.75" customHeight="1" x14ac:dyDescent="0.2">
      <c r="A4" s="37" t="s">
        <v>43</v>
      </c>
      <c r="B4" s="37" t="s">
        <v>10</v>
      </c>
      <c r="C4" s="37" t="s">
        <v>59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259" t="s">
        <v>66</v>
      </c>
      <c r="J4" s="260"/>
      <c r="K4" s="261"/>
      <c r="L4" s="69" t="s">
        <v>67</v>
      </c>
    </row>
    <row r="5" spans="1:14" ht="12.75" customHeight="1" x14ac:dyDescent="0.2">
      <c r="A5" t="s">
        <v>188</v>
      </c>
      <c r="B5" s="163" t="s">
        <v>134</v>
      </c>
      <c r="J5" s="257"/>
      <c r="K5" s="257"/>
      <c r="L5" s="258"/>
    </row>
    <row r="6" spans="1:14" ht="12.75" customHeight="1" thickBot="1" x14ac:dyDescent="0.25">
      <c r="A6" s="163" t="s">
        <v>177</v>
      </c>
      <c r="B6" s="163" t="s">
        <v>134</v>
      </c>
    </row>
    <row r="7" spans="1:14" ht="12.75" customHeight="1" x14ac:dyDescent="0.25">
      <c r="A7" s="42">
        <f t="shared" ref="A7:A171" si="0">MONTH(D7)</f>
        <v>9</v>
      </c>
      <c r="B7" s="42">
        <f t="shared" ref="B7:B171" si="1">YEAR(D7)</f>
        <v>2018</v>
      </c>
      <c r="C7" s="42" t="str">
        <f t="shared" ref="C7:C171" si="2">IFERROR("Rent: "&amp;FIND("Rent",E7),IFERROR("Priv Tax: "&amp;FIND("Tax",E7), IFERROR("Income: "&amp;FIND("Payment",E7,1),"")))</f>
        <v/>
      </c>
      <c r="D7" s="52">
        <v>43351</v>
      </c>
      <c r="E7" s="73" t="s">
        <v>84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25">
      <c r="A8" s="37">
        <f t="shared" si="0"/>
        <v>9</v>
      </c>
      <c r="B8" s="37">
        <f t="shared" si="1"/>
        <v>2018</v>
      </c>
      <c r="C8" s="37" t="str">
        <f t="shared" si="2"/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3">H7+G8-F8</f>
        <v>1650</v>
      </c>
      <c r="L8" s="71"/>
      <c r="M8" s="36"/>
      <c r="N8" s="36"/>
    </row>
    <row r="9" spans="1:14" ht="12.75" customHeight="1" x14ac:dyDescent="0.25">
      <c r="A9" s="37">
        <f t="shared" si="0"/>
        <v>9</v>
      </c>
      <c r="B9" s="37">
        <f t="shared" si="1"/>
        <v>2018</v>
      </c>
      <c r="C9" s="37" t="str">
        <f t="shared" si="2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3"/>
        <v>1150</v>
      </c>
      <c r="I9" s="29"/>
      <c r="L9" s="71"/>
      <c r="N9" s="36"/>
    </row>
    <row r="10" spans="1:14" ht="12.75" customHeight="1" x14ac:dyDescent="0.2">
      <c r="A10" s="37">
        <f t="shared" si="0"/>
        <v>9</v>
      </c>
      <c r="B10" s="37">
        <f t="shared" si="1"/>
        <v>2018</v>
      </c>
      <c r="C10" s="37" t="str">
        <f t="shared" si="2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3"/>
        <v>2476.1296660117878</v>
      </c>
      <c r="I10" s="29"/>
      <c r="L10" s="71"/>
      <c r="N10" s="15"/>
    </row>
    <row r="11" spans="1:14" ht="12.75" customHeight="1" x14ac:dyDescent="0.2">
      <c r="A11" s="37">
        <f t="shared" si="0"/>
        <v>9</v>
      </c>
      <c r="B11" s="37">
        <f t="shared" si="1"/>
        <v>2018</v>
      </c>
      <c r="C11" s="37" t="str">
        <f t="shared" si="2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3"/>
        <v>2500</v>
      </c>
      <c r="I11" s="29"/>
      <c r="L11" s="71"/>
      <c r="N11" s="15"/>
    </row>
    <row r="12" spans="1:14" ht="12.75" customHeight="1" x14ac:dyDescent="0.25">
      <c r="A12" s="37">
        <f t="shared" si="0"/>
        <v>9</v>
      </c>
      <c r="B12" s="37">
        <f t="shared" si="1"/>
        <v>2018</v>
      </c>
      <c r="C12" s="37" t="str">
        <f t="shared" si="2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3"/>
        <v>1800</v>
      </c>
      <c r="I12" s="32"/>
      <c r="J12" s="32"/>
      <c r="L12" s="71"/>
      <c r="N12" s="15"/>
    </row>
    <row r="13" spans="1:14" ht="12.75" customHeight="1" x14ac:dyDescent="0.25">
      <c r="A13" s="37">
        <f t="shared" si="0"/>
        <v>9</v>
      </c>
      <c r="B13" s="37">
        <f t="shared" si="1"/>
        <v>2018</v>
      </c>
      <c r="C13" s="37" t="str">
        <f t="shared" si="2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3"/>
        <v>850</v>
      </c>
      <c r="I13" s="36"/>
      <c r="J13" s="36"/>
      <c r="L13" s="71"/>
      <c r="N13" s="15"/>
    </row>
    <row r="14" spans="1:14" ht="12.75" customHeight="1" x14ac:dyDescent="0.25">
      <c r="A14" s="47">
        <f t="shared" si="0"/>
        <v>10</v>
      </c>
      <c r="B14" s="47">
        <f t="shared" si="1"/>
        <v>2018</v>
      </c>
      <c r="C14" s="47" t="str">
        <f t="shared" si="2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3"/>
        <v>250</v>
      </c>
      <c r="I14" s="50"/>
      <c r="J14" s="50"/>
      <c r="K14" s="49"/>
      <c r="L14" s="78"/>
      <c r="N14" s="15"/>
    </row>
    <row r="15" spans="1:14" ht="12.75" customHeight="1" x14ac:dyDescent="0.25">
      <c r="A15" s="42">
        <f t="shared" si="0"/>
        <v>10</v>
      </c>
      <c r="B15" s="42">
        <f t="shared" si="1"/>
        <v>2018</v>
      </c>
      <c r="C15" s="42" t="str">
        <f t="shared" si="2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3"/>
        <v>0</v>
      </c>
      <c r="I15" s="33"/>
      <c r="J15" s="33"/>
      <c r="K15" s="33"/>
      <c r="L15" s="75"/>
      <c r="N15" s="15"/>
    </row>
    <row r="16" spans="1:14" ht="12.75" customHeight="1" x14ac:dyDescent="0.2">
      <c r="A16" s="37">
        <f t="shared" si="0"/>
        <v>10</v>
      </c>
      <c r="B16" s="37">
        <f t="shared" si="1"/>
        <v>2018</v>
      </c>
      <c r="C16" s="37" t="str">
        <f t="shared" si="2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3"/>
        <v>1326.1296660117878</v>
      </c>
      <c r="I16" s="29"/>
      <c r="L16" s="71"/>
      <c r="N16" s="15"/>
    </row>
    <row r="17" spans="1:14" ht="12.75" customHeight="1" x14ac:dyDescent="0.2">
      <c r="A17" s="37">
        <f t="shared" si="0"/>
        <v>10</v>
      </c>
      <c r="B17" s="37">
        <f t="shared" si="1"/>
        <v>2018</v>
      </c>
      <c r="C17" s="37" t="str">
        <f t="shared" si="2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3"/>
        <v>1350</v>
      </c>
      <c r="I17" s="29"/>
      <c r="L17" s="71"/>
      <c r="N17" s="15"/>
    </row>
    <row r="18" spans="1:14" ht="12.75" customHeight="1" x14ac:dyDescent="0.25">
      <c r="A18" s="37">
        <f t="shared" si="0"/>
        <v>10</v>
      </c>
      <c r="B18" s="37">
        <f t="shared" si="1"/>
        <v>2018</v>
      </c>
      <c r="C18" s="37" t="str">
        <f t="shared" si="2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3"/>
        <v>0</v>
      </c>
      <c r="I18" s="32"/>
      <c r="J18" s="32"/>
      <c r="L18" s="71"/>
      <c r="N18" s="15"/>
    </row>
    <row r="19" spans="1:14" ht="12.75" customHeight="1" x14ac:dyDescent="0.2">
      <c r="A19" s="37">
        <f t="shared" si="0"/>
        <v>11</v>
      </c>
      <c r="B19" s="37">
        <f t="shared" si="1"/>
        <v>2018</v>
      </c>
      <c r="C19" s="37" t="str">
        <f t="shared" si="2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3"/>
        <v>1326.1296660117878</v>
      </c>
      <c r="I19" s="36"/>
      <c r="J19" s="36"/>
      <c r="L19" s="71"/>
      <c r="N19" s="15"/>
    </row>
    <row r="20" spans="1:14" ht="12.75" customHeight="1" x14ac:dyDescent="0.2">
      <c r="A20" s="37">
        <f t="shared" si="0"/>
        <v>11</v>
      </c>
      <c r="B20" s="37">
        <f t="shared" si="1"/>
        <v>2018</v>
      </c>
      <c r="C20" s="37" t="str">
        <f t="shared" si="2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3"/>
        <v>1350</v>
      </c>
      <c r="I20" s="29"/>
      <c r="L20" s="71"/>
      <c r="N20" s="15"/>
    </row>
    <row r="21" spans="1:14" ht="12.75" customHeight="1" x14ac:dyDescent="0.25">
      <c r="A21" s="37">
        <f t="shared" si="0"/>
        <v>12</v>
      </c>
      <c r="B21" s="37">
        <f t="shared" si="1"/>
        <v>2018</v>
      </c>
      <c r="C21" s="37" t="str">
        <f t="shared" si="2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3"/>
        <v>750</v>
      </c>
      <c r="I21" s="29"/>
      <c r="L21" s="71"/>
      <c r="N21" s="15"/>
    </row>
    <row r="22" spans="1:14" ht="12.75" customHeight="1" x14ac:dyDescent="0.25">
      <c r="A22" s="37">
        <f t="shared" si="0"/>
        <v>12</v>
      </c>
      <c r="B22" s="37">
        <f t="shared" si="1"/>
        <v>2018</v>
      </c>
      <c r="C22" s="37" t="str">
        <f t="shared" si="2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3"/>
        <v>-95</v>
      </c>
      <c r="I22" s="39"/>
      <c r="J22" s="30"/>
      <c r="L22" s="71"/>
      <c r="N22" s="15"/>
    </row>
    <row r="23" spans="1:14" ht="12.75" customHeight="1" x14ac:dyDescent="0.2">
      <c r="A23" s="37">
        <f t="shared" si="0"/>
        <v>12</v>
      </c>
      <c r="B23" s="37">
        <f t="shared" si="1"/>
        <v>2018</v>
      </c>
      <c r="C23" s="37" t="str">
        <f t="shared" si="2"/>
        <v/>
      </c>
      <c r="D23" s="86">
        <v>43442</v>
      </c>
      <c r="E23" s="30" t="s">
        <v>52</v>
      </c>
      <c r="F23" s="36"/>
      <c r="G23" s="36">
        <v>95</v>
      </c>
      <c r="H23" s="38">
        <f t="shared" si="3"/>
        <v>0</v>
      </c>
      <c r="I23" s="15"/>
      <c r="J23" s="15"/>
      <c r="K23" s="30"/>
      <c r="L23" s="71"/>
    </row>
    <row r="24" spans="1:14" ht="12.75" customHeight="1" x14ac:dyDescent="0.2">
      <c r="A24" s="37">
        <f t="shared" si="0"/>
        <v>12</v>
      </c>
      <c r="B24" s="37">
        <f t="shared" si="1"/>
        <v>2018</v>
      </c>
      <c r="C24" s="37" t="str">
        <f t="shared" si="2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3"/>
        <v>1326.1296660117878</v>
      </c>
      <c r="I24" s="30"/>
      <c r="J24" s="36"/>
      <c r="L24" s="71"/>
    </row>
    <row r="25" spans="1:14" ht="12.75" customHeight="1" x14ac:dyDescent="0.2">
      <c r="A25" s="47">
        <f t="shared" si="0"/>
        <v>12</v>
      </c>
      <c r="B25" s="47">
        <f t="shared" si="1"/>
        <v>2018</v>
      </c>
      <c r="C25" s="47" t="str">
        <f t="shared" si="2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3"/>
        <v>1350</v>
      </c>
      <c r="I25" s="49"/>
      <c r="J25" s="49"/>
      <c r="K25" s="49"/>
      <c r="L25" s="78"/>
    </row>
    <row r="26" spans="1:14" ht="12.75" customHeight="1" x14ac:dyDescent="0.25">
      <c r="A26" s="42">
        <f t="shared" si="0"/>
        <v>1</v>
      </c>
      <c r="B26" s="42">
        <f t="shared" si="1"/>
        <v>2019</v>
      </c>
      <c r="C26" s="42" t="str">
        <f t="shared" si="2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3"/>
        <v>-65</v>
      </c>
      <c r="I26" s="33"/>
      <c r="J26" s="33"/>
      <c r="K26" s="33"/>
      <c r="L26" s="75"/>
      <c r="N26" s="15"/>
    </row>
    <row r="27" spans="1:14" ht="12.75" customHeight="1" x14ac:dyDescent="0.2">
      <c r="A27" s="37">
        <f t="shared" si="0"/>
        <v>1</v>
      </c>
      <c r="B27" s="37">
        <f t="shared" si="1"/>
        <v>2019</v>
      </c>
      <c r="C27" s="37" t="str">
        <f t="shared" si="2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3"/>
        <v>0</v>
      </c>
      <c r="I27" s="29"/>
      <c r="J27" s="29"/>
      <c r="K27" s="29"/>
      <c r="L27" s="71"/>
    </row>
    <row r="28" spans="1:14" ht="12.75" customHeight="1" x14ac:dyDescent="0.2">
      <c r="A28" s="37">
        <f t="shared" si="0"/>
        <v>1</v>
      </c>
      <c r="B28" s="37">
        <f t="shared" si="1"/>
        <v>2019</v>
      </c>
      <c r="C28" s="37" t="str">
        <f t="shared" si="2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3"/>
        <v>1326.1296660117878</v>
      </c>
      <c r="I28" s="29"/>
      <c r="J28" s="29"/>
      <c r="K28" s="29"/>
      <c r="L28" s="71"/>
    </row>
    <row r="29" spans="1:14" ht="12.75" customHeight="1" x14ac:dyDescent="0.2">
      <c r="A29" s="37">
        <f t="shared" si="0"/>
        <v>1</v>
      </c>
      <c r="B29" s="37">
        <f t="shared" si="1"/>
        <v>2019</v>
      </c>
      <c r="C29" s="37" t="str">
        <f t="shared" si="2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3"/>
        <v>1350</v>
      </c>
      <c r="I29" s="29"/>
      <c r="J29" s="29"/>
      <c r="K29" s="29"/>
      <c r="L29" s="71"/>
    </row>
    <row r="30" spans="1:14" ht="12.75" customHeight="1" x14ac:dyDescent="0.25">
      <c r="A30" s="37">
        <f t="shared" si="0"/>
        <v>2</v>
      </c>
      <c r="B30" s="37">
        <f t="shared" si="1"/>
        <v>2019</v>
      </c>
      <c r="C30" s="37" t="str">
        <f t="shared" si="2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3"/>
        <v>450</v>
      </c>
      <c r="I30" s="29"/>
      <c r="J30" s="29"/>
      <c r="K30" s="29"/>
      <c r="L30" s="71"/>
    </row>
    <row r="31" spans="1:14" ht="12.75" customHeight="1" x14ac:dyDescent="0.25">
      <c r="A31" s="37">
        <f t="shared" si="0"/>
        <v>2</v>
      </c>
      <c r="B31" s="37">
        <f t="shared" si="1"/>
        <v>2019</v>
      </c>
      <c r="C31" s="37" t="str">
        <f t="shared" si="2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3"/>
        <v>-155</v>
      </c>
      <c r="I31" s="29"/>
      <c r="J31" s="29"/>
      <c r="K31" s="29"/>
      <c r="L31" s="71"/>
    </row>
    <row r="32" spans="1:14" ht="12.75" customHeight="1" x14ac:dyDescent="0.2">
      <c r="A32" s="37">
        <f t="shared" si="0"/>
        <v>2</v>
      </c>
      <c r="B32" s="37">
        <f t="shared" si="1"/>
        <v>2019</v>
      </c>
      <c r="C32" s="37" t="str">
        <f t="shared" si="2"/>
        <v/>
      </c>
      <c r="D32" s="86">
        <v>43500</v>
      </c>
      <c r="E32" s="29" t="s">
        <v>52</v>
      </c>
      <c r="F32" s="36"/>
      <c r="G32" s="36">
        <v>155</v>
      </c>
      <c r="H32" s="38">
        <f t="shared" si="3"/>
        <v>0</v>
      </c>
      <c r="I32" s="29"/>
      <c r="J32" s="29"/>
      <c r="K32" s="29"/>
      <c r="L32" s="71"/>
    </row>
    <row r="33" spans="1:12" ht="12.75" customHeight="1" x14ac:dyDescent="0.2">
      <c r="A33" s="37">
        <f t="shared" si="0"/>
        <v>2</v>
      </c>
      <c r="B33" s="37">
        <f t="shared" si="1"/>
        <v>2019</v>
      </c>
      <c r="C33" s="37" t="str">
        <f t="shared" si="2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3"/>
        <v>1326.1296660117878</v>
      </c>
      <c r="I33" s="29"/>
      <c r="J33" s="29"/>
      <c r="K33" s="29"/>
      <c r="L33" s="71"/>
    </row>
    <row r="34" spans="1:12" ht="12.75" customHeight="1" x14ac:dyDescent="0.2">
      <c r="A34" s="37">
        <f t="shared" si="0"/>
        <v>2</v>
      </c>
      <c r="B34" s="37">
        <f t="shared" si="1"/>
        <v>2019</v>
      </c>
      <c r="C34" s="37" t="str">
        <f t="shared" si="2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3"/>
        <v>1350</v>
      </c>
      <c r="I34" s="29"/>
      <c r="J34" s="29"/>
      <c r="K34" s="29"/>
      <c r="L34" s="71"/>
    </row>
    <row r="35" spans="1:12" ht="12.75" customHeight="1" x14ac:dyDescent="0.25">
      <c r="A35" s="37">
        <f t="shared" si="0"/>
        <v>3</v>
      </c>
      <c r="B35" s="37">
        <f t="shared" si="1"/>
        <v>2019</v>
      </c>
      <c r="C35" s="37" t="str">
        <f t="shared" si="2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3"/>
        <v>750</v>
      </c>
      <c r="I35" s="32"/>
      <c r="J35" s="32"/>
      <c r="K35" s="29"/>
      <c r="L35" s="71"/>
    </row>
    <row r="36" spans="1:12" ht="12.75" customHeight="1" x14ac:dyDescent="0.25">
      <c r="A36" s="37">
        <f t="shared" si="0"/>
        <v>3</v>
      </c>
      <c r="B36" s="37">
        <f t="shared" si="1"/>
        <v>2019</v>
      </c>
      <c r="C36" s="37" t="str">
        <f t="shared" si="2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3"/>
        <v>-125</v>
      </c>
      <c r="I36" s="36"/>
      <c r="J36" s="36"/>
      <c r="K36" s="29"/>
      <c r="L36" s="71"/>
    </row>
    <row r="37" spans="1:12" ht="12.75" customHeight="1" x14ac:dyDescent="0.2">
      <c r="A37" s="37">
        <f t="shared" si="0"/>
        <v>3</v>
      </c>
      <c r="B37" s="37">
        <f t="shared" si="1"/>
        <v>2019</v>
      </c>
      <c r="C37" s="37" t="str">
        <f t="shared" si="2"/>
        <v/>
      </c>
      <c r="D37" s="86">
        <v>43528</v>
      </c>
      <c r="E37" s="29" t="s">
        <v>52</v>
      </c>
      <c r="F37" s="36"/>
      <c r="G37" s="36">
        <v>125</v>
      </c>
      <c r="H37" s="38">
        <f t="shared" si="3"/>
        <v>0</v>
      </c>
      <c r="I37" s="29"/>
      <c r="J37" s="29"/>
      <c r="K37" s="29"/>
      <c r="L37" s="71"/>
    </row>
    <row r="38" spans="1:12" ht="12.75" customHeight="1" x14ac:dyDescent="0.2">
      <c r="A38" s="80">
        <f t="shared" si="0"/>
        <v>3</v>
      </c>
      <c r="B38" s="42">
        <f t="shared" si="1"/>
        <v>2019</v>
      </c>
      <c r="C38" s="42" t="str">
        <f t="shared" si="2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3"/>
        <v>1326.1296660117878</v>
      </c>
      <c r="I38" s="33"/>
      <c r="J38" s="33"/>
      <c r="K38" s="33"/>
      <c r="L38" s="75"/>
    </row>
    <row r="39" spans="1:12" ht="12.75" customHeight="1" x14ac:dyDescent="0.2">
      <c r="A39" s="81">
        <f t="shared" si="0"/>
        <v>3</v>
      </c>
      <c r="B39" s="37">
        <f t="shared" si="1"/>
        <v>2019</v>
      </c>
      <c r="C39" s="37" t="str">
        <f t="shared" si="2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3"/>
        <v>1350</v>
      </c>
      <c r="I39" s="29"/>
      <c r="J39" s="29"/>
      <c r="K39" s="29"/>
      <c r="L39" s="71"/>
    </row>
    <row r="40" spans="1:12" ht="12.75" customHeight="1" x14ac:dyDescent="0.25">
      <c r="A40" s="81">
        <f t="shared" si="0"/>
        <v>4</v>
      </c>
      <c r="B40" s="37">
        <f t="shared" si="1"/>
        <v>2019</v>
      </c>
      <c r="C40" s="37" t="str">
        <f t="shared" si="2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3"/>
        <v>650</v>
      </c>
      <c r="I40" s="29"/>
      <c r="J40" s="29"/>
      <c r="K40" s="29"/>
      <c r="L40" s="71"/>
    </row>
    <row r="41" spans="1:12" ht="12.75" customHeight="1" x14ac:dyDescent="0.25">
      <c r="A41" s="81">
        <f t="shared" si="0"/>
        <v>4</v>
      </c>
      <c r="B41" s="37">
        <f t="shared" si="1"/>
        <v>2019</v>
      </c>
      <c r="C41" s="37" t="str">
        <f t="shared" si="2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3"/>
        <v>-155</v>
      </c>
      <c r="I41" s="29"/>
      <c r="J41" s="29"/>
      <c r="K41" s="29"/>
      <c r="L41" s="71"/>
    </row>
    <row r="42" spans="1:12" ht="12.75" customHeight="1" x14ac:dyDescent="0.2">
      <c r="A42" s="81">
        <f t="shared" si="0"/>
        <v>4</v>
      </c>
      <c r="B42" s="37">
        <f t="shared" si="1"/>
        <v>2019</v>
      </c>
      <c r="C42" s="37" t="str">
        <f t="shared" si="2"/>
        <v/>
      </c>
      <c r="D42" s="86">
        <v>43559</v>
      </c>
      <c r="E42" s="29" t="s">
        <v>52</v>
      </c>
      <c r="F42" s="36"/>
      <c r="G42" s="36">
        <v>155</v>
      </c>
      <c r="H42" s="38">
        <f t="shared" si="3"/>
        <v>0</v>
      </c>
      <c r="I42" s="29"/>
      <c r="J42" s="29"/>
      <c r="K42" s="29"/>
      <c r="L42" s="71"/>
    </row>
    <row r="43" spans="1:12" ht="12.75" customHeight="1" x14ac:dyDescent="0.2">
      <c r="A43" s="81">
        <f t="shared" si="0"/>
        <v>4</v>
      </c>
      <c r="B43" s="37">
        <f t="shared" si="1"/>
        <v>2019</v>
      </c>
      <c r="C43" s="37" t="str">
        <f t="shared" si="2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3"/>
        <v>1326.1296660117878</v>
      </c>
      <c r="I43" s="29"/>
      <c r="J43" s="29"/>
      <c r="K43" s="29"/>
      <c r="L43" s="71"/>
    </row>
    <row r="44" spans="1:12" ht="12.75" customHeight="1" x14ac:dyDescent="0.2">
      <c r="A44" s="81">
        <f t="shared" si="0"/>
        <v>4</v>
      </c>
      <c r="B44" s="37">
        <f t="shared" si="1"/>
        <v>2019</v>
      </c>
      <c r="C44" s="37" t="str">
        <f t="shared" si="2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3"/>
        <v>1350</v>
      </c>
      <c r="I44" s="29"/>
      <c r="J44" s="29"/>
      <c r="K44" s="29"/>
      <c r="L44" s="71"/>
    </row>
    <row r="45" spans="1:12" ht="12.75" customHeight="1" x14ac:dyDescent="0.25">
      <c r="A45" s="81">
        <f t="shared" si="0"/>
        <v>5</v>
      </c>
      <c r="B45" s="37">
        <f t="shared" si="1"/>
        <v>2019</v>
      </c>
      <c r="C45" s="37" t="str">
        <f t="shared" si="2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3"/>
        <v>150</v>
      </c>
      <c r="I45" s="29"/>
      <c r="J45" s="29"/>
      <c r="K45" s="29"/>
      <c r="L45" s="71"/>
    </row>
    <row r="46" spans="1:12" ht="12.75" customHeight="1" x14ac:dyDescent="0.25">
      <c r="A46" s="81">
        <f t="shared" si="0"/>
        <v>5</v>
      </c>
      <c r="B46" s="37">
        <f t="shared" si="1"/>
        <v>2019</v>
      </c>
      <c r="C46" s="37" t="str">
        <f t="shared" si="2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3"/>
        <v>-185</v>
      </c>
      <c r="I46" s="29"/>
      <c r="J46" s="29"/>
      <c r="K46" s="29"/>
      <c r="L46" s="71"/>
    </row>
    <row r="47" spans="1:12" ht="12.75" customHeight="1" x14ac:dyDescent="0.2">
      <c r="A47" s="81">
        <f t="shared" si="0"/>
        <v>5</v>
      </c>
      <c r="B47" s="37">
        <f t="shared" si="1"/>
        <v>2019</v>
      </c>
      <c r="C47" s="37" t="str">
        <f t="shared" si="2"/>
        <v/>
      </c>
      <c r="D47" s="86">
        <v>43589</v>
      </c>
      <c r="E47" s="29" t="s">
        <v>52</v>
      </c>
      <c r="F47" s="36"/>
      <c r="G47" s="36">
        <v>185</v>
      </c>
      <c r="H47" s="38">
        <f t="shared" si="3"/>
        <v>0</v>
      </c>
      <c r="I47" s="32"/>
      <c r="J47" s="32"/>
      <c r="K47" s="29"/>
      <c r="L47" s="71"/>
    </row>
    <row r="48" spans="1:12" ht="12.75" customHeight="1" x14ac:dyDescent="0.2">
      <c r="A48" s="81">
        <f t="shared" si="0"/>
        <v>5</v>
      </c>
      <c r="B48" s="37">
        <f t="shared" si="1"/>
        <v>2019</v>
      </c>
      <c r="C48" s="37" t="str">
        <f t="shared" si="2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3"/>
        <v>1326.1296660117878</v>
      </c>
      <c r="I48" s="36"/>
      <c r="J48" s="36"/>
      <c r="K48" s="29"/>
      <c r="L48" s="71"/>
    </row>
    <row r="49" spans="1:12" ht="12.75" customHeight="1" x14ac:dyDescent="0.2">
      <c r="A49" s="81">
        <f t="shared" si="0"/>
        <v>5</v>
      </c>
      <c r="B49" s="37">
        <f t="shared" si="1"/>
        <v>2019</v>
      </c>
      <c r="C49" s="37" t="str">
        <f t="shared" si="2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3"/>
        <v>1350</v>
      </c>
      <c r="I49" s="29"/>
      <c r="J49" s="29"/>
      <c r="K49" s="29"/>
      <c r="L49" s="71"/>
    </row>
    <row r="50" spans="1:12" ht="12.75" customHeight="1" x14ac:dyDescent="0.25">
      <c r="A50" s="81">
        <f t="shared" si="0"/>
        <v>6</v>
      </c>
      <c r="B50" s="37">
        <f t="shared" si="1"/>
        <v>2019</v>
      </c>
      <c r="C50" s="37" t="str">
        <f t="shared" si="2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3"/>
        <v>900</v>
      </c>
      <c r="I50" s="29"/>
      <c r="J50" s="29"/>
      <c r="K50" s="29"/>
      <c r="L50" s="71"/>
    </row>
    <row r="51" spans="1:12" ht="12.75" customHeight="1" x14ac:dyDescent="0.25">
      <c r="A51" s="81">
        <f t="shared" si="0"/>
        <v>6</v>
      </c>
      <c r="B51" s="37">
        <f t="shared" si="1"/>
        <v>2019</v>
      </c>
      <c r="C51" s="37" t="str">
        <f t="shared" si="2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3"/>
        <v>500</v>
      </c>
      <c r="I51" s="29"/>
      <c r="J51" s="29"/>
      <c r="K51" s="29"/>
      <c r="L51" s="71"/>
    </row>
    <row r="52" spans="1:12" ht="12.75" customHeight="1" x14ac:dyDescent="0.25">
      <c r="A52" s="81">
        <f t="shared" si="0"/>
        <v>6</v>
      </c>
      <c r="B52" s="37">
        <f t="shared" si="1"/>
        <v>2019</v>
      </c>
      <c r="C52" s="37" t="str">
        <f t="shared" si="2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3"/>
        <v>-135</v>
      </c>
      <c r="I52" s="29"/>
      <c r="J52" s="29"/>
      <c r="K52" s="29"/>
      <c r="L52" s="71"/>
    </row>
    <row r="53" spans="1:12" ht="12.75" customHeight="1" x14ac:dyDescent="0.2">
      <c r="A53" s="82">
        <f t="shared" si="0"/>
        <v>6</v>
      </c>
      <c r="B53" s="47">
        <f t="shared" si="1"/>
        <v>2019</v>
      </c>
      <c r="C53" s="47" t="str">
        <f t="shared" si="2"/>
        <v/>
      </c>
      <c r="D53" s="92">
        <v>43627</v>
      </c>
      <c r="E53" s="49" t="s">
        <v>52</v>
      </c>
      <c r="F53" s="50"/>
      <c r="G53" s="50">
        <v>135</v>
      </c>
      <c r="H53" s="77">
        <f t="shared" si="3"/>
        <v>0</v>
      </c>
      <c r="I53" s="49"/>
      <c r="J53" s="49"/>
      <c r="K53" s="49"/>
      <c r="L53" s="78"/>
    </row>
    <row r="54" spans="1:12" ht="12.75" customHeight="1" x14ac:dyDescent="0.2">
      <c r="A54" s="80">
        <f t="shared" si="0"/>
        <v>7</v>
      </c>
      <c r="B54" s="42">
        <f t="shared" si="1"/>
        <v>2019</v>
      </c>
      <c r="C54" s="42" t="str">
        <f t="shared" si="2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3"/>
        <v>1326.1296660117878</v>
      </c>
      <c r="I54" s="33"/>
      <c r="J54" s="33"/>
      <c r="K54" s="33"/>
      <c r="L54" s="75"/>
    </row>
    <row r="55" spans="1:12" ht="12.75" customHeight="1" x14ac:dyDescent="0.2">
      <c r="A55" s="81">
        <f t="shared" si="0"/>
        <v>7</v>
      </c>
      <c r="B55" s="37">
        <f t="shared" si="1"/>
        <v>2019</v>
      </c>
      <c r="C55" s="37" t="str">
        <f t="shared" si="2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3"/>
        <v>1350</v>
      </c>
      <c r="I55" s="29"/>
      <c r="J55" s="29"/>
      <c r="K55" s="29"/>
      <c r="L55" s="71"/>
    </row>
    <row r="56" spans="1:12" ht="12.75" customHeight="1" x14ac:dyDescent="0.25">
      <c r="A56" s="81">
        <f t="shared" si="0"/>
        <v>7</v>
      </c>
      <c r="B56" s="37">
        <f t="shared" si="1"/>
        <v>2019</v>
      </c>
      <c r="C56" s="37" t="str">
        <f t="shared" si="2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3"/>
        <v>550</v>
      </c>
      <c r="I56" s="29"/>
      <c r="J56" s="29"/>
      <c r="K56" s="29"/>
      <c r="L56" s="71"/>
    </row>
    <row r="57" spans="1:12" ht="12.75" customHeight="1" x14ac:dyDescent="0.25">
      <c r="A57" s="81">
        <f t="shared" si="0"/>
        <v>7</v>
      </c>
      <c r="B57" s="37">
        <f t="shared" si="1"/>
        <v>2019</v>
      </c>
      <c r="C57" s="37" t="str">
        <f t="shared" si="2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3"/>
        <v>-145</v>
      </c>
      <c r="I57" s="29"/>
      <c r="J57" s="29"/>
      <c r="K57" s="29"/>
      <c r="L57" s="71"/>
    </row>
    <row r="58" spans="1:12" ht="12.75" customHeight="1" x14ac:dyDescent="0.2">
      <c r="A58" s="81">
        <f t="shared" si="0"/>
        <v>7</v>
      </c>
      <c r="B58" s="37">
        <f t="shared" si="1"/>
        <v>2019</v>
      </c>
      <c r="C58" s="37" t="str">
        <f t="shared" si="2"/>
        <v/>
      </c>
      <c r="D58" s="86">
        <v>43661</v>
      </c>
      <c r="E58" s="29" t="s">
        <v>52</v>
      </c>
      <c r="F58" s="36"/>
      <c r="G58" s="36">
        <v>145</v>
      </c>
      <c r="H58" s="38">
        <f t="shared" si="3"/>
        <v>0</v>
      </c>
      <c r="I58" s="29"/>
      <c r="J58" s="29"/>
      <c r="K58" s="29"/>
      <c r="L58" s="71"/>
    </row>
    <row r="59" spans="1:12" ht="12.75" customHeight="1" x14ac:dyDescent="0.2">
      <c r="A59" s="81">
        <f t="shared" si="0"/>
        <v>8</v>
      </c>
      <c r="B59" s="37">
        <f t="shared" si="1"/>
        <v>2019</v>
      </c>
      <c r="C59" s="37" t="str">
        <f t="shared" si="2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3"/>
        <v>1326.1296660117878</v>
      </c>
      <c r="I59" s="29"/>
      <c r="J59" s="29"/>
      <c r="K59" s="29"/>
      <c r="L59" s="71"/>
    </row>
    <row r="60" spans="1:12" ht="12.75" customHeight="1" x14ac:dyDescent="0.2">
      <c r="A60" s="81">
        <f t="shared" si="0"/>
        <v>8</v>
      </c>
      <c r="B60" s="37">
        <f t="shared" si="1"/>
        <v>2019</v>
      </c>
      <c r="C60" s="37" t="str">
        <f t="shared" si="2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3"/>
        <v>1350</v>
      </c>
      <c r="I60" s="32"/>
      <c r="J60" s="32"/>
      <c r="K60" s="29"/>
      <c r="L60" s="71"/>
    </row>
    <row r="61" spans="1:12" ht="12.75" customHeight="1" x14ac:dyDescent="0.25">
      <c r="A61" s="81">
        <f t="shared" si="0"/>
        <v>8</v>
      </c>
      <c r="B61" s="37">
        <f t="shared" si="1"/>
        <v>2019</v>
      </c>
      <c r="C61" s="37" t="str">
        <f t="shared" si="2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3"/>
        <v>250</v>
      </c>
      <c r="I61" s="36"/>
      <c r="J61" s="36"/>
      <c r="K61" s="29"/>
      <c r="L61" s="71"/>
    </row>
    <row r="62" spans="1:12" ht="12.75" customHeight="1" x14ac:dyDescent="0.25">
      <c r="A62" s="81">
        <f t="shared" si="0"/>
        <v>8</v>
      </c>
      <c r="B62" s="37">
        <f t="shared" si="1"/>
        <v>2019</v>
      </c>
      <c r="C62" s="37" t="str">
        <f t="shared" si="2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3"/>
        <v>-115</v>
      </c>
      <c r="I62" s="29"/>
      <c r="J62" s="29"/>
      <c r="K62" s="29"/>
      <c r="L62" s="71"/>
    </row>
    <row r="63" spans="1:12" ht="12.75" customHeight="1" x14ac:dyDescent="0.2">
      <c r="A63" s="81">
        <f t="shared" si="0"/>
        <v>7</v>
      </c>
      <c r="B63" s="37">
        <f t="shared" si="1"/>
        <v>2019</v>
      </c>
      <c r="C63" s="37" t="str">
        <f t="shared" si="2"/>
        <v/>
      </c>
      <c r="D63" s="86">
        <v>43661</v>
      </c>
      <c r="E63" s="29" t="s">
        <v>52</v>
      </c>
      <c r="F63" s="36"/>
      <c r="G63" s="36">
        <v>115</v>
      </c>
      <c r="H63" s="38">
        <f t="shared" si="3"/>
        <v>0</v>
      </c>
      <c r="I63" s="29"/>
      <c r="J63" s="29"/>
      <c r="K63" s="29"/>
      <c r="L63" s="71"/>
    </row>
    <row r="64" spans="1:12" ht="12.75" customHeight="1" x14ac:dyDescent="0.2">
      <c r="A64" s="81">
        <f t="shared" si="0"/>
        <v>9</v>
      </c>
      <c r="B64" s="37">
        <f t="shared" si="1"/>
        <v>2019</v>
      </c>
      <c r="C64" s="37" t="str">
        <f t="shared" si="2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3"/>
        <v>1326.1296660117878</v>
      </c>
      <c r="I64" s="39"/>
      <c r="J64" s="30"/>
      <c r="K64" s="29"/>
      <c r="L64" s="71"/>
    </row>
    <row r="65" spans="1:12" ht="12.75" customHeight="1" x14ac:dyDescent="0.2">
      <c r="A65" s="81">
        <f t="shared" si="0"/>
        <v>9</v>
      </c>
      <c r="B65" s="37">
        <f t="shared" si="1"/>
        <v>2019</v>
      </c>
      <c r="C65" s="37" t="str">
        <f t="shared" si="2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3"/>
        <v>1350</v>
      </c>
      <c r="I65" s="15"/>
      <c r="J65" s="15"/>
      <c r="K65" s="29"/>
      <c r="L65" s="71"/>
    </row>
    <row r="66" spans="1:12" ht="12.75" customHeight="1" x14ac:dyDescent="0.25">
      <c r="A66" s="81">
        <f t="shared" si="0"/>
        <v>9</v>
      </c>
      <c r="B66" s="37">
        <f t="shared" si="1"/>
        <v>2019</v>
      </c>
      <c r="C66" s="37" t="str">
        <f t="shared" si="2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3"/>
        <v>-225</v>
      </c>
      <c r="I66" s="29"/>
      <c r="J66" s="29"/>
      <c r="K66" s="29"/>
      <c r="L66" s="71"/>
    </row>
    <row r="67" spans="1:12" ht="12.75" customHeight="1" x14ac:dyDescent="0.2">
      <c r="A67" s="82">
        <f t="shared" si="0"/>
        <v>9</v>
      </c>
      <c r="B67" s="47">
        <f t="shared" si="1"/>
        <v>2019</v>
      </c>
      <c r="C67" s="47" t="str">
        <f t="shared" si="2"/>
        <v/>
      </c>
      <c r="D67" s="92">
        <v>43728</v>
      </c>
      <c r="E67" s="49" t="s">
        <v>52</v>
      </c>
      <c r="F67" s="50"/>
      <c r="G67" s="50">
        <v>225</v>
      </c>
      <c r="H67" s="77">
        <f t="shared" si="3"/>
        <v>0</v>
      </c>
      <c r="I67" s="49"/>
      <c r="J67" s="49"/>
      <c r="K67" s="49"/>
      <c r="L67" s="78"/>
    </row>
    <row r="68" spans="1:12" ht="12.75" customHeight="1" x14ac:dyDescent="0.2">
      <c r="A68" s="80">
        <f t="shared" si="0"/>
        <v>10</v>
      </c>
      <c r="B68" s="42">
        <f t="shared" si="1"/>
        <v>2019</v>
      </c>
      <c r="C68" s="42" t="str">
        <f t="shared" si="2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3"/>
        <v>1326.1296660117878</v>
      </c>
      <c r="I68" s="33"/>
      <c r="J68" s="33"/>
      <c r="K68" s="33"/>
      <c r="L68" s="75"/>
    </row>
    <row r="69" spans="1:12" ht="12.75" customHeight="1" x14ac:dyDescent="0.2">
      <c r="A69" s="81">
        <f t="shared" si="0"/>
        <v>10</v>
      </c>
      <c r="B69" s="37">
        <f t="shared" si="1"/>
        <v>2019</v>
      </c>
      <c r="C69" s="37" t="str">
        <f t="shared" si="2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3"/>
        <v>1350</v>
      </c>
      <c r="I69" s="29"/>
      <c r="J69" s="29"/>
      <c r="K69" s="29"/>
      <c r="L69" s="71"/>
    </row>
    <row r="70" spans="1:12" ht="12.75" customHeight="1" x14ac:dyDescent="0.25">
      <c r="A70" s="81">
        <f t="shared" si="0"/>
        <v>11</v>
      </c>
      <c r="B70" s="37">
        <f t="shared" si="1"/>
        <v>2019</v>
      </c>
      <c r="C70" s="37" t="str">
        <f t="shared" si="2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3"/>
        <v>0</v>
      </c>
      <c r="I70" s="29"/>
      <c r="J70" s="29"/>
      <c r="K70" s="29"/>
      <c r="L70" s="71"/>
    </row>
    <row r="71" spans="1:12" ht="12.75" customHeight="1" x14ac:dyDescent="0.2">
      <c r="A71" s="81">
        <f t="shared" si="0"/>
        <v>11</v>
      </c>
      <c r="B71" s="37">
        <f t="shared" si="1"/>
        <v>2019</v>
      </c>
      <c r="C71" s="37" t="str">
        <f t="shared" si="2"/>
        <v/>
      </c>
      <c r="D71" s="86">
        <v>43777</v>
      </c>
      <c r="E71" s="29" t="s">
        <v>52</v>
      </c>
      <c r="F71" s="36"/>
      <c r="G71" s="36">
        <v>50</v>
      </c>
      <c r="H71" s="38">
        <f t="shared" si="3"/>
        <v>50</v>
      </c>
      <c r="I71" s="32"/>
      <c r="J71" s="32"/>
      <c r="K71" s="29"/>
      <c r="L71" s="71"/>
    </row>
    <row r="72" spans="1:12" ht="12.75" customHeight="1" x14ac:dyDescent="0.2">
      <c r="A72" s="81">
        <f t="shared" si="0"/>
        <v>11</v>
      </c>
      <c r="B72" s="37">
        <f t="shared" si="1"/>
        <v>2019</v>
      </c>
      <c r="C72" s="37" t="str">
        <f t="shared" si="2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3"/>
        <v>1376.1296660117878</v>
      </c>
      <c r="I72" s="36"/>
      <c r="J72" s="36"/>
      <c r="K72" s="29"/>
      <c r="L72" s="71"/>
    </row>
    <row r="73" spans="1:12" ht="12.75" customHeight="1" x14ac:dyDescent="0.2">
      <c r="A73" s="81">
        <f t="shared" si="0"/>
        <v>11</v>
      </c>
      <c r="B73" s="37">
        <f t="shared" si="1"/>
        <v>2019</v>
      </c>
      <c r="C73" s="37" t="str">
        <f t="shared" si="2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3"/>
        <v>1400</v>
      </c>
      <c r="I73" s="29"/>
      <c r="J73" s="29"/>
      <c r="K73" s="29"/>
      <c r="L73" s="71"/>
    </row>
    <row r="74" spans="1:12" ht="12.75" customHeight="1" x14ac:dyDescent="0.25">
      <c r="A74" s="82">
        <f t="shared" si="0"/>
        <v>12</v>
      </c>
      <c r="B74" s="47">
        <f t="shared" si="1"/>
        <v>2019</v>
      </c>
      <c r="C74" s="47" t="str">
        <f t="shared" si="2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3"/>
        <v>0</v>
      </c>
      <c r="I74" s="49"/>
      <c r="J74" s="49"/>
      <c r="K74" s="49"/>
      <c r="L74" s="78"/>
    </row>
    <row r="75" spans="1:12" ht="12.75" customHeight="1" x14ac:dyDescent="0.2">
      <c r="A75" s="80">
        <f t="shared" si="0"/>
        <v>12</v>
      </c>
      <c r="B75" s="42">
        <f t="shared" si="1"/>
        <v>2019</v>
      </c>
      <c r="C75" s="42" t="str">
        <f t="shared" si="2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3"/>
        <v>1326.1296660117878</v>
      </c>
      <c r="I75" s="33"/>
      <c r="J75" s="33"/>
      <c r="K75" s="33"/>
      <c r="L75" s="75"/>
    </row>
    <row r="76" spans="1:12" ht="12.75" customHeight="1" x14ac:dyDescent="0.2">
      <c r="A76" s="81">
        <f t="shared" si="0"/>
        <v>12</v>
      </c>
      <c r="B76" s="37">
        <f t="shared" si="1"/>
        <v>2019</v>
      </c>
      <c r="C76" s="37" t="str">
        <f t="shared" si="2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3"/>
        <v>1350</v>
      </c>
      <c r="I76" s="29"/>
      <c r="J76" s="29"/>
      <c r="K76" s="29"/>
      <c r="L76" s="71"/>
    </row>
    <row r="77" spans="1:12" ht="12.75" customHeight="1" x14ac:dyDescent="0.25">
      <c r="A77" s="81">
        <f t="shared" si="0"/>
        <v>1</v>
      </c>
      <c r="B77" s="37">
        <f t="shared" si="1"/>
        <v>2020</v>
      </c>
      <c r="C77" s="37" t="str">
        <f t="shared" si="2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3"/>
        <v>-150</v>
      </c>
      <c r="I77" s="29"/>
      <c r="J77" s="29"/>
      <c r="K77" s="29"/>
      <c r="L77" s="71"/>
    </row>
    <row r="78" spans="1:12" ht="12.75" customHeight="1" x14ac:dyDescent="0.2">
      <c r="A78" s="81">
        <f t="shared" si="0"/>
        <v>11</v>
      </c>
      <c r="B78" s="37">
        <f t="shared" si="1"/>
        <v>2019</v>
      </c>
      <c r="C78" s="37" t="str">
        <f t="shared" si="2"/>
        <v/>
      </c>
      <c r="D78" s="86">
        <v>43777</v>
      </c>
      <c r="E78" s="29" t="s">
        <v>52</v>
      </c>
      <c r="F78" s="36"/>
      <c r="G78" s="36">
        <v>150</v>
      </c>
      <c r="H78" s="38">
        <f t="shared" si="3"/>
        <v>0</v>
      </c>
      <c r="I78" s="29"/>
      <c r="J78" s="29"/>
      <c r="K78" s="29"/>
      <c r="L78" s="71"/>
    </row>
    <row r="79" spans="1:12" ht="12.75" customHeight="1" x14ac:dyDescent="0.2">
      <c r="A79" s="81">
        <f t="shared" si="0"/>
        <v>1</v>
      </c>
      <c r="B79" s="37">
        <f t="shared" si="1"/>
        <v>2020</v>
      </c>
      <c r="C79" s="37" t="str">
        <f t="shared" si="2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3"/>
        <v>1326.1296660117878</v>
      </c>
      <c r="I79" s="29"/>
      <c r="J79" s="29"/>
      <c r="K79" s="29"/>
      <c r="L79" s="71"/>
    </row>
    <row r="80" spans="1:12" ht="12.75" customHeight="1" x14ac:dyDescent="0.2">
      <c r="A80" s="81">
        <f t="shared" si="0"/>
        <v>1</v>
      </c>
      <c r="B80" s="37">
        <f t="shared" si="1"/>
        <v>2020</v>
      </c>
      <c r="C80" s="37" t="str">
        <f t="shared" si="2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3"/>
        <v>1350</v>
      </c>
      <c r="I80" s="29"/>
      <c r="J80" s="29"/>
      <c r="K80" s="29"/>
      <c r="L80" s="71"/>
    </row>
    <row r="81" spans="1:12" ht="12.75" customHeight="1" x14ac:dyDescent="0.25">
      <c r="A81" s="81">
        <f t="shared" si="0"/>
        <v>2</v>
      </c>
      <c r="B81" s="37">
        <f t="shared" si="1"/>
        <v>2020</v>
      </c>
      <c r="C81" s="37" t="str">
        <f t="shared" si="2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3"/>
        <v>-150</v>
      </c>
      <c r="I81" s="29"/>
      <c r="J81" s="29"/>
      <c r="K81" s="29"/>
      <c r="L81" s="71"/>
    </row>
    <row r="82" spans="1:12" ht="12.75" customHeight="1" x14ac:dyDescent="0.2">
      <c r="A82" s="81">
        <f t="shared" si="0"/>
        <v>11</v>
      </c>
      <c r="B82" s="37">
        <f t="shared" si="1"/>
        <v>2019</v>
      </c>
      <c r="C82" s="37" t="str">
        <f t="shared" si="2"/>
        <v/>
      </c>
      <c r="D82" s="86">
        <v>43777</v>
      </c>
      <c r="E82" s="29" t="s">
        <v>52</v>
      </c>
      <c r="F82" s="36"/>
      <c r="G82" s="36">
        <v>150</v>
      </c>
      <c r="H82" s="38">
        <f t="shared" si="3"/>
        <v>0</v>
      </c>
      <c r="I82" s="29"/>
      <c r="J82" s="29"/>
      <c r="K82" s="29"/>
      <c r="L82" s="71"/>
    </row>
    <row r="83" spans="1:12" ht="12.75" customHeight="1" x14ac:dyDescent="0.2">
      <c r="A83" s="81">
        <f t="shared" si="0"/>
        <v>2</v>
      </c>
      <c r="B83" s="37">
        <f t="shared" si="1"/>
        <v>2020</v>
      </c>
      <c r="C83" s="37" t="str">
        <f t="shared" si="2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3"/>
        <v>1326.1296660117878</v>
      </c>
      <c r="I83" s="32"/>
      <c r="J83" s="32"/>
      <c r="K83" s="29"/>
      <c r="L83" s="71"/>
    </row>
    <row r="84" spans="1:12" ht="12.75" customHeight="1" x14ac:dyDescent="0.2">
      <c r="A84" s="81">
        <f t="shared" si="0"/>
        <v>2</v>
      </c>
      <c r="B84" s="37">
        <f t="shared" si="1"/>
        <v>2020</v>
      </c>
      <c r="C84" s="37" t="str">
        <f t="shared" si="2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3"/>
        <v>1350</v>
      </c>
      <c r="I84" s="36"/>
      <c r="J84" s="87"/>
      <c r="K84" s="29"/>
      <c r="L84" s="71"/>
    </row>
    <row r="85" spans="1:12" ht="12.75" customHeight="1" x14ac:dyDescent="0.25">
      <c r="A85" s="81">
        <f t="shared" si="0"/>
        <v>3</v>
      </c>
      <c r="B85" s="37">
        <f t="shared" si="1"/>
        <v>2020</v>
      </c>
      <c r="C85" s="37" t="str">
        <f t="shared" si="2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3"/>
        <v>-85</v>
      </c>
      <c r="I85" s="29"/>
      <c r="J85" s="29"/>
      <c r="K85" s="29"/>
      <c r="L85" s="71"/>
    </row>
    <row r="86" spans="1:12" ht="12.75" customHeight="1" x14ac:dyDescent="0.2">
      <c r="A86" s="82">
        <f t="shared" si="0"/>
        <v>3</v>
      </c>
      <c r="B86" s="47">
        <f t="shared" si="1"/>
        <v>2019</v>
      </c>
      <c r="C86" s="47" t="str">
        <f t="shared" si="2"/>
        <v/>
      </c>
      <c r="D86" s="92">
        <v>43532</v>
      </c>
      <c r="E86" s="49" t="s">
        <v>52</v>
      </c>
      <c r="F86" s="50"/>
      <c r="G86" s="50">
        <v>85</v>
      </c>
      <c r="H86" s="77">
        <f t="shared" si="3"/>
        <v>0</v>
      </c>
      <c r="I86" s="49"/>
      <c r="J86" s="49"/>
      <c r="K86" s="49"/>
      <c r="L86" s="78"/>
    </row>
    <row r="87" spans="1:12" ht="12.75" customHeight="1" x14ac:dyDescent="0.2">
      <c r="A87" s="80">
        <f t="shared" si="0"/>
        <v>3</v>
      </c>
      <c r="B87" s="42">
        <f t="shared" si="1"/>
        <v>2020</v>
      </c>
      <c r="C87" s="42" t="str">
        <f t="shared" si="2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3"/>
        <v>1326.1296660117878</v>
      </c>
      <c r="I87" s="33"/>
      <c r="J87" s="33"/>
      <c r="K87" s="33"/>
      <c r="L87" s="75"/>
    </row>
    <row r="88" spans="1:12" ht="12.75" customHeight="1" x14ac:dyDescent="0.2">
      <c r="A88" s="81">
        <f t="shared" si="0"/>
        <v>3</v>
      </c>
      <c r="B88" s="37">
        <f t="shared" si="1"/>
        <v>2020</v>
      </c>
      <c r="C88" s="37" t="str">
        <f t="shared" si="2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3"/>
        <v>1350</v>
      </c>
      <c r="I88" s="29"/>
      <c r="J88" s="29"/>
      <c r="K88" s="29"/>
      <c r="L88" s="71"/>
    </row>
    <row r="89" spans="1:12" ht="12.75" customHeight="1" x14ac:dyDescent="0.25">
      <c r="A89" s="81">
        <f t="shared" si="0"/>
        <v>4</v>
      </c>
      <c r="B89" s="37">
        <f t="shared" si="1"/>
        <v>2020</v>
      </c>
      <c r="C89" s="37" t="str">
        <f t="shared" si="2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3"/>
        <v>0</v>
      </c>
      <c r="I89" s="29"/>
      <c r="J89" s="29"/>
      <c r="K89" s="29"/>
      <c r="L89" s="71"/>
    </row>
    <row r="90" spans="1:12" ht="12.75" customHeight="1" x14ac:dyDescent="0.2">
      <c r="A90" s="81">
        <f t="shared" si="0"/>
        <v>4</v>
      </c>
      <c r="B90" s="37">
        <f t="shared" si="1"/>
        <v>2020</v>
      </c>
      <c r="C90" s="37" t="str">
        <f t="shared" si="2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3"/>
        <v>1326.1296660117878</v>
      </c>
      <c r="I90" s="29"/>
      <c r="J90" s="29"/>
      <c r="K90" s="29"/>
      <c r="L90" s="71"/>
    </row>
    <row r="91" spans="1:12" ht="12.75" customHeight="1" x14ac:dyDescent="0.2">
      <c r="A91" s="81">
        <f t="shared" si="0"/>
        <v>4</v>
      </c>
      <c r="B91" s="37">
        <f t="shared" si="1"/>
        <v>2020</v>
      </c>
      <c r="C91" s="37" t="str">
        <f t="shared" si="2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3"/>
        <v>1350</v>
      </c>
      <c r="I91" s="29"/>
      <c r="J91" s="29"/>
      <c r="K91" s="29"/>
      <c r="L91" s="71"/>
    </row>
    <row r="92" spans="1:12" ht="12.75" customHeight="1" x14ac:dyDescent="0.25">
      <c r="A92" s="81">
        <f t="shared" si="0"/>
        <v>5</v>
      </c>
      <c r="B92" s="37">
        <f t="shared" si="1"/>
        <v>2020</v>
      </c>
      <c r="C92" s="37" t="str">
        <f t="shared" si="2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3"/>
        <v>0</v>
      </c>
      <c r="I92" s="29"/>
      <c r="J92" s="29"/>
      <c r="K92" s="29"/>
      <c r="L92" s="71"/>
    </row>
    <row r="93" spans="1:12" ht="12.75" customHeight="1" x14ac:dyDescent="0.2">
      <c r="A93" s="80">
        <f t="shared" si="0"/>
        <v>5</v>
      </c>
      <c r="B93" s="42">
        <f t="shared" si="1"/>
        <v>2020</v>
      </c>
      <c r="C93" s="42" t="str">
        <f t="shared" si="2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3"/>
        <v>1326.1296660117878</v>
      </c>
      <c r="I93" s="45"/>
      <c r="J93" s="93"/>
      <c r="K93" s="33"/>
      <c r="L93" s="75"/>
    </row>
    <row r="94" spans="1:12" ht="12.75" customHeight="1" x14ac:dyDescent="0.2">
      <c r="A94" s="81">
        <f t="shared" si="0"/>
        <v>5</v>
      </c>
      <c r="B94" s="37">
        <f t="shared" si="1"/>
        <v>2020</v>
      </c>
      <c r="C94" s="37" t="str">
        <f t="shared" si="2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3"/>
        <v>1350</v>
      </c>
      <c r="I94" s="29"/>
      <c r="J94" s="29"/>
      <c r="K94" s="29"/>
      <c r="L94" s="71"/>
    </row>
    <row r="95" spans="1:12" ht="12.75" customHeight="1" x14ac:dyDescent="0.25">
      <c r="A95" s="81">
        <f t="shared" si="0"/>
        <v>6</v>
      </c>
      <c r="B95" s="37">
        <f t="shared" si="1"/>
        <v>2020</v>
      </c>
      <c r="C95" s="37" t="str">
        <f t="shared" si="2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3"/>
        <v>0</v>
      </c>
      <c r="I95" s="29"/>
      <c r="J95" s="29"/>
      <c r="K95" s="29"/>
      <c r="L95" s="71"/>
    </row>
    <row r="96" spans="1:12" ht="12.75" customHeight="1" x14ac:dyDescent="0.2">
      <c r="A96" s="81">
        <f t="shared" si="0"/>
        <v>6</v>
      </c>
      <c r="B96" s="37">
        <f t="shared" si="1"/>
        <v>2020</v>
      </c>
      <c r="C96" s="37" t="str">
        <f t="shared" si="2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3"/>
        <v>1326.1296660117878</v>
      </c>
      <c r="I96" s="29"/>
      <c r="J96" s="29"/>
      <c r="K96" s="29"/>
      <c r="L96" s="71"/>
    </row>
    <row r="97" spans="1:15" ht="12.75" customHeight="1" x14ac:dyDescent="0.2">
      <c r="A97" s="81">
        <f t="shared" si="0"/>
        <v>6</v>
      </c>
      <c r="B97" s="37">
        <f t="shared" si="1"/>
        <v>2020</v>
      </c>
      <c r="C97" s="37" t="str">
        <f t="shared" si="2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3"/>
        <v>1350</v>
      </c>
      <c r="I97" s="29"/>
      <c r="J97" s="29"/>
      <c r="K97" s="29"/>
      <c r="L97" s="71"/>
    </row>
    <row r="98" spans="1:15" ht="12.75" customHeight="1" x14ac:dyDescent="0.25">
      <c r="A98" s="81">
        <f t="shared" si="0"/>
        <v>7</v>
      </c>
      <c r="B98" s="37">
        <f t="shared" si="1"/>
        <v>2020</v>
      </c>
      <c r="C98" s="37" t="str">
        <f t="shared" si="2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3"/>
        <v>0</v>
      </c>
      <c r="I98" s="29"/>
      <c r="J98" s="29"/>
      <c r="K98" s="29"/>
      <c r="L98" s="71"/>
    </row>
    <row r="99" spans="1:15" ht="12.75" customHeight="1" x14ac:dyDescent="0.2">
      <c r="A99" s="81">
        <f t="shared" si="0"/>
        <v>7</v>
      </c>
      <c r="B99" s="37">
        <f t="shared" si="1"/>
        <v>2020</v>
      </c>
      <c r="C99" s="37" t="str">
        <f t="shared" si="2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3"/>
        <v>1326.1296660117878</v>
      </c>
      <c r="K99" s="29"/>
      <c r="L99" s="71"/>
      <c r="M99" s="32"/>
      <c r="N99" s="32"/>
    </row>
    <row r="100" spans="1:15" ht="12.75" customHeight="1" x14ac:dyDescent="0.2">
      <c r="A100" s="81">
        <f t="shared" si="0"/>
        <v>7</v>
      </c>
      <c r="B100" s="37">
        <f t="shared" si="1"/>
        <v>2020</v>
      </c>
      <c r="C100" s="37" t="str">
        <f t="shared" si="2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3"/>
        <v>1350</v>
      </c>
      <c r="L100" s="71"/>
      <c r="M100" s="36"/>
      <c r="N100" s="87"/>
      <c r="O100" s="29"/>
    </row>
    <row r="101" spans="1:15" ht="12.75" customHeight="1" x14ac:dyDescent="0.25">
      <c r="A101" s="81">
        <f t="shared" si="0"/>
        <v>8</v>
      </c>
      <c r="B101" s="37">
        <f t="shared" si="1"/>
        <v>2020</v>
      </c>
      <c r="C101" s="37" t="str">
        <f t="shared" si="2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3"/>
        <v>0</v>
      </c>
      <c r="I101" s="29"/>
      <c r="J101" s="29"/>
      <c r="K101" s="29"/>
      <c r="L101" s="71"/>
    </row>
    <row r="102" spans="1:15" ht="12.75" customHeight="1" x14ac:dyDescent="0.2">
      <c r="A102" s="82">
        <f>MONTH(D101)</f>
        <v>8</v>
      </c>
      <c r="B102" s="47">
        <f>YEAR(D101)</f>
        <v>2020</v>
      </c>
      <c r="C102" s="47" t="str">
        <f t="shared" si="2"/>
        <v/>
      </c>
      <c r="D102" s="94" t="s">
        <v>180</v>
      </c>
      <c r="E102" s="49" t="s">
        <v>85</v>
      </c>
      <c r="F102" s="50"/>
      <c r="G102" s="50">
        <v>85</v>
      </c>
      <c r="H102" s="77">
        <f t="shared" si="3"/>
        <v>85</v>
      </c>
      <c r="I102" s="49"/>
      <c r="J102" s="49"/>
      <c r="K102" s="49"/>
      <c r="L102" s="78"/>
    </row>
    <row r="103" spans="1:15" ht="12.75" customHeight="1" x14ac:dyDescent="0.2">
      <c r="A103" s="80">
        <f t="shared" si="0"/>
        <v>8</v>
      </c>
      <c r="B103" s="42">
        <f t="shared" si="1"/>
        <v>2020</v>
      </c>
      <c r="C103" s="42" t="str">
        <f t="shared" si="2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3"/>
        <v>1411.1296660117878</v>
      </c>
      <c r="I103" s="33"/>
      <c r="J103" s="33"/>
      <c r="K103" s="33"/>
      <c r="L103" s="75"/>
    </row>
    <row r="104" spans="1:15" ht="12.75" customHeight="1" x14ac:dyDescent="0.2">
      <c r="A104" s="81">
        <f t="shared" si="0"/>
        <v>8</v>
      </c>
      <c r="B104" s="37">
        <f t="shared" si="1"/>
        <v>2020</v>
      </c>
      <c r="C104" s="37" t="str">
        <f t="shared" si="2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3"/>
        <v>1435</v>
      </c>
      <c r="I104" s="29"/>
      <c r="J104" s="29"/>
      <c r="K104" s="29"/>
      <c r="L104" s="71"/>
    </row>
    <row r="105" spans="1:15" ht="12.75" customHeight="1" x14ac:dyDescent="0.25">
      <c r="A105" s="81">
        <f t="shared" si="0"/>
        <v>9</v>
      </c>
      <c r="B105" s="37">
        <f t="shared" si="1"/>
        <v>2020</v>
      </c>
      <c r="C105" s="37" t="str">
        <f t="shared" si="2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3"/>
        <v>1190</v>
      </c>
      <c r="I105" s="29"/>
      <c r="J105" s="29"/>
      <c r="K105" s="29"/>
      <c r="L105" s="71"/>
    </row>
    <row r="106" spans="1:15" ht="12.75" customHeight="1" x14ac:dyDescent="0.2">
      <c r="A106" s="81">
        <f t="shared" si="0"/>
        <v>9</v>
      </c>
      <c r="B106" s="37">
        <f t="shared" si="1"/>
        <v>2020</v>
      </c>
      <c r="C106" s="37" t="str">
        <f t="shared" si="2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3"/>
        <v>2516.1296660117878</v>
      </c>
      <c r="I106" s="29"/>
      <c r="J106" s="29"/>
      <c r="K106" s="29"/>
      <c r="L106" s="71"/>
    </row>
    <row r="107" spans="1:15" ht="12.75" customHeight="1" x14ac:dyDescent="0.2">
      <c r="A107" s="81">
        <f t="shared" si="0"/>
        <v>9</v>
      </c>
      <c r="B107" s="37">
        <f t="shared" si="1"/>
        <v>2020</v>
      </c>
      <c r="C107" s="37" t="str">
        <f t="shared" si="2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3"/>
        <v>2540</v>
      </c>
      <c r="I107" s="29"/>
      <c r="J107" s="29"/>
      <c r="K107" s="29"/>
      <c r="L107" s="71"/>
    </row>
    <row r="108" spans="1:15" ht="12.75" customHeight="1" x14ac:dyDescent="0.2">
      <c r="A108" s="81">
        <f>MONTH(D107)</f>
        <v>9</v>
      </c>
      <c r="B108" s="37">
        <f>YEAR(D101)</f>
        <v>2020</v>
      </c>
      <c r="C108" s="37" t="str">
        <f t="shared" si="2"/>
        <v/>
      </c>
      <c r="D108" s="95" t="s">
        <v>181</v>
      </c>
      <c r="E108" s="29" t="s">
        <v>86</v>
      </c>
      <c r="F108" s="36"/>
      <c r="G108" s="36">
        <v>300</v>
      </c>
      <c r="H108" s="38">
        <f t="shared" si="3"/>
        <v>2840</v>
      </c>
      <c r="I108" s="29"/>
      <c r="J108" s="29"/>
      <c r="K108" s="29"/>
      <c r="L108" s="71"/>
    </row>
    <row r="109" spans="1:15" ht="12.75" customHeight="1" x14ac:dyDescent="0.25">
      <c r="A109" s="81">
        <f t="shared" si="0"/>
        <v>10</v>
      </c>
      <c r="B109" s="37">
        <f t="shared" si="1"/>
        <v>2020</v>
      </c>
      <c r="C109" s="37" t="str">
        <f t="shared" si="2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3"/>
        <v>-160</v>
      </c>
      <c r="I109" s="29"/>
      <c r="J109" s="29"/>
      <c r="K109" s="29"/>
      <c r="L109" s="71"/>
    </row>
    <row r="110" spans="1:15" ht="12.75" customHeight="1" x14ac:dyDescent="0.2">
      <c r="A110" s="81">
        <f t="shared" si="0"/>
        <v>10</v>
      </c>
      <c r="B110" s="37">
        <f t="shared" si="1"/>
        <v>2020</v>
      </c>
      <c r="C110" s="37" t="str">
        <f t="shared" si="2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3"/>
        <v>1166.1296660117878</v>
      </c>
      <c r="I110" s="29"/>
      <c r="J110" s="29"/>
      <c r="K110" s="29"/>
      <c r="L110" s="71"/>
    </row>
    <row r="111" spans="1:15" ht="12.75" customHeight="1" x14ac:dyDescent="0.2">
      <c r="A111" s="81">
        <f t="shared" si="0"/>
        <v>10</v>
      </c>
      <c r="B111" s="37">
        <f t="shared" si="1"/>
        <v>2020</v>
      </c>
      <c r="C111" s="37" t="str">
        <f t="shared" si="2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3"/>
        <v>1190</v>
      </c>
      <c r="I111" s="29"/>
      <c r="J111" s="29"/>
      <c r="K111" s="29"/>
      <c r="L111" s="71"/>
    </row>
    <row r="112" spans="1:15" ht="12.75" customHeight="1" x14ac:dyDescent="0.25">
      <c r="A112" s="81">
        <f t="shared" si="0"/>
        <v>11</v>
      </c>
      <c r="B112" s="37">
        <f t="shared" si="1"/>
        <v>2020</v>
      </c>
      <c r="C112" s="37" t="str">
        <f t="shared" si="2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3"/>
        <v>-160</v>
      </c>
      <c r="I112" s="29"/>
      <c r="J112" s="29"/>
      <c r="K112" s="29"/>
      <c r="L112" s="71"/>
    </row>
    <row r="113" spans="1:15" ht="12.75" customHeight="1" x14ac:dyDescent="0.2">
      <c r="A113" s="81">
        <f>MONTH(D112)</f>
        <v>11</v>
      </c>
      <c r="B113" s="37">
        <f>YEAR(D119)</f>
        <v>2020</v>
      </c>
      <c r="C113" s="37" t="str">
        <f t="shared" si="2"/>
        <v/>
      </c>
      <c r="D113" s="95" t="s">
        <v>182</v>
      </c>
      <c r="E113" s="29" t="s">
        <v>87</v>
      </c>
      <c r="F113" s="36"/>
      <c r="G113" s="36"/>
      <c r="H113" s="38">
        <f t="shared" si="3"/>
        <v>-160</v>
      </c>
      <c r="I113" s="29"/>
      <c r="J113" s="29"/>
      <c r="K113" s="29"/>
      <c r="L113" s="71"/>
    </row>
    <row r="114" spans="1:15" ht="12.75" customHeight="1" x14ac:dyDescent="0.2">
      <c r="A114" s="81">
        <f t="shared" si="0"/>
        <v>11</v>
      </c>
      <c r="B114" s="37">
        <f t="shared" si="1"/>
        <v>2020</v>
      </c>
      <c r="C114" s="37" t="str">
        <f t="shared" si="2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3"/>
        <v>1166.1296660117878</v>
      </c>
      <c r="I114" s="29"/>
      <c r="J114" s="29"/>
      <c r="K114" s="29"/>
      <c r="L114" s="71"/>
    </row>
    <row r="115" spans="1:15" ht="12.75" customHeight="1" x14ac:dyDescent="0.2">
      <c r="A115" s="81">
        <f t="shared" si="0"/>
        <v>11</v>
      </c>
      <c r="B115" s="37">
        <f t="shared" si="1"/>
        <v>2020</v>
      </c>
      <c r="C115" s="37" t="str">
        <f t="shared" si="2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3"/>
        <v>1190</v>
      </c>
      <c r="I115" s="29"/>
      <c r="J115" s="29"/>
      <c r="K115" s="29"/>
      <c r="L115" s="71"/>
    </row>
    <row r="116" spans="1:15" ht="12.75" customHeight="1" x14ac:dyDescent="0.2">
      <c r="A116" s="81">
        <f>MONTH(D112)</f>
        <v>11</v>
      </c>
      <c r="B116" s="37">
        <f>YEAR(D119)</f>
        <v>2020</v>
      </c>
      <c r="C116" s="37" t="str">
        <f t="shared" si="2"/>
        <v/>
      </c>
      <c r="D116" s="95" t="s">
        <v>183</v>
      </c>
      <c r="E116" s="29" t="s">
        <v>52</v>
      </c>
      <c r="F116" s="36"/>
      <c r="G116" s="36">
        <v>300</v>
      </c>
      <c r="H116" s="38">
        <f t="shared" si="3"/>
        <v>1490</v>
      </c>
      <c r="I116" s="29"/>
      <c r="J116" s="29"/>
      <c r="K116" s="29"/>
      <c r="L116" s="71"/>
    </row>
    <row r="117" spans="1:15" ht="12.75" customHeight="1" x14ac:dyDescent="0.2">
      <c r="A117" s="81">
        <f t="shared" si="0"/>
        <v>12</v>
      </c>
      <c r="B117" s="37">
        <f t="shared" si="1"/>
        <v>2020</v>
      </c>
      <c r="C117" s="37" t="str">
        <f t="shared" si="2"/>
        <v/>
      </c>
      <c r="D117" s="28">
        <v>44169</v>
      </c>
      <c r="E117" s="29"/>
      <c r="F117" s="36"/>
      <c r="G117" s="36"/>
      <c r="H117" s="38">
        <f t="shared" si="3"/>
        <v>1490</v>
      </c>
      <c r="I117" s="29"/>
      <c r="J117" s="29"/>
      <c r="K117" s="29"/>
      <c r="L117" s="71"/>
    </row>
    <row r="118" spans="1:15" ht="12.75" customHeight="1" x14ac:dyDescent="0.2">
      <c r="A118" s="81">
        <f>MONTH(D119)</f>
        <v>12</v>
      </c>
      <c r="B118" s="37">
        <f>YEAR(D119)</f>
        <v>2020</v>
      </c>
      <c r="C118" s="37" t="str">
        <f t="shared" si="2"/>
        <v/>
      </c>
      <c r="D118" s="95" t="s">
        <v>184</v>
      </c>
      <c r="E118" s="29" t="s">
        <v>52</v>
      </c>
      <c r="F118" s="36"/>
      <c r="G118" s="36">
        <v>300</v>
      </c>
      <c r="H118" s="38">
        <f t="shared" si="3"/>
        <v>1790</v>
      </c>
      <c r="I118" s="29"/>
      <c r="J118" s="29"/>
      <c r="K118" s="29"/>
      <c r="L118" s="71"/>
    </row>
    <row r="119" spans="1:15" ht="12.75" customHeight="1" x14ac:dyDescent="0.2">
      <c r="A119" s="81">
        <f t="shared" si="0"/>
        <v>12</v>
      </c>
      <c r="B119" s="37">
        <f t="shared" si="1"/>
        <v>2020</v>
      </c>
      <c r="C119" s="37" t="str">
        <f t="shared" si="2"/>
        <v/>
      </c>
      <c r="D119" s="28">
        <v>44175</v>
      </c>
      <c r="E119" s="29" t="s">
        <v>88</v>
      </c>
      <c r="F119" s="36">
        <v>2000</v>
      </c>
      <c r="G119" s="36"/>
      <c r="H119" s="38">
        <f t="shared" si="3"/>
        <v>-210</v>
      </c>
      <c r="I119" s="29"/>
      <c r="J119" s="29"/>
      <c r="K119" s="29"/>
      <c r="L119" s="71"/>
    </row>
    <row r="120" spans="1:15" ht="12.75" customHeight="1" x14ac:dyDescent="0.2">
      <c r="A120" s="81">
        <f t="shared" si="0"/>
        <v>12</v>
      </c>
      <c r="B120" s="37">
        <f t="shared" si="1"/>
        <v>2020</v>
      </c>
      <c r="C120" s="37" t="str">
        <f t="shared" si="2"/>
        <v/>
      </c>
      <c r="D120" s="28">
        <v>44175</v>
      </c>
      <c r="E120" s="29" t="s">
        <v>88</v>
      </c>
      <c r="F120" s="36">
        <v>1880</v>
      </c>
      <c r="G120" s="36"/>
      <c r="H120" s="38">
        <f t="shared" si="3"/>
        <v>-2090</v>
      </c>
      <c r="I120" s="29"/>
      <c r="J120" s="29"/>
      <c r="K120" s="29"/>
      <c r="L120" s="71"/>
      <c r="M120" s="32"/>
      <c r="N120" s="32"/>
    </row>
    <row r="121" spans="1:15" ht="12.75" customHeight="1" x14ac:dyDescent="0.2">
      <c r="A121" s="81">
        <f t="shared" si="0"/>
        <v>12</v>
      </c>
      <c r="B121" s="37">
        <f t="shared" si="1"/>
        <v>2021</v>
      </c>
      <c r="C121" s="37" t="str">
        <f t="shared" si="2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3"/>
        <v>-763.87033398821222</v>
      </c>
      <c r="I121" s="29"/>
      <c r="J121" s="29"/>
      <c r="K121" s="29"/>
      <c r="L121" s="71"/>
      <c r="M121" s="36"/>
      <c r="N121" s="36"/>
      <c r="O121" s="30"/>
    </row>
    <row r="122" spans="1:15" ht="12.75" customHeight="1" x14ac:dyDescent="0.2">
      <c r="A122" s="82">
        <f t="shared" si="0"/>
        <v>12</v>
      </c>
      <c r="B122" s="47">
        <f t="shared" si="1"/>
        <v>2021</v>
      </c>
      <c r="C122" s="47" t="str">
        <f t="shared" si="2"/>
        <v>Priv Tax: 1</v>
      </c>
      <c r="D122" s="90">
        <f>D121</f>
        <v>44558</v>
      </c>
      <c r="E122" s="91" t="str">
        <f>"Tax"</f>
        <v>Tax</v>
      </c>
      <c r="F122" s="50"/>
      <c r="G122" s="96">
        <f>G121*0.018</f>
        <v>23.870333988212177</v>
      </c>
      <c r="H122" s="77">
        <f t="shared" si="3"/>
        <v>-740</v>
      </c>
      <c r="I122" s="49"/>
      <c r="J122" s="49"/>
      <c r="K122" s="49"/>
      <c r="L122" s="78"/>
    </row>
    <row r="123" spans="1:15" ht="12.75" customHeight="1" x14ac:dyDescent="0.2">
      <c r="A123" s="80">
        <f t="shared" si="0"/>
        <v>1</v>
      </c>
      <c r="B123" s="42">
        <f t="shared" si="1"/>
        <v>2021</v>
      </c>
      <c r="C123" s="42" t="str">
        <f t="shared" si="2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3"/>
        <v>586.12966601178778</v>
      </c>
      <c r="I123" s="33"/>
      <c r="J123" s="33"/>
      <c r="K123" s="33"/>
      <c r="L123" s="75"/>
    </row>
    <row r="124" spans="1:15" ht="12.75" customHeight="1" x14ac:dyDescent="0.2">
      <c r="A124" s="81">
        <f t="shared" si="0"/>
        <v>1</v>
      </c>
      <c r="B124" s="37">
        <f t="shared" si="1"/>
        <v>2021</v>
      </c>
      <c r="C124" s="37" t="str">
        <f t="shared" si="2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3"/>
        <v>610</v>
      </c>
      <c r="I124" s="29"/>
      <c r="J124" s="29"/>
      <c r="K124" s="29"/>
      <c r="L124" s="71"/>
    </row>
    <row r="125" spans="1:15" ht="12.75" customHeight="1" x14ac:dyDescent="0.25">
      <c r="A125" s="81">
        <f t="shared" si="0"/>
        <v>2</v>
      </c>
      <c r="B125" s="37">
        <f t="shared" si="1"/>
        <v>2021</v>
      </c>
      <c r="C125" s="37" t="str">
        <f t="shared" si="2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3"/>
        <v>-740</v>
      </c>
      <c r="I125" s="29"/>
      <c r="J125" s="29"/>
      <c r="K125" s="29"/>
      <c r="L125" s="71"/>
    </row>
    <row r="126" spans="1:15" ht="12.75" customHeight="1" x14ac:dyDescent="0.2">
      <c r="A126" s="81">
        <f t="shared" si="0"/>
        <v>2</v>
      </c>
      <c r="B126" s="37">
        <f t="shared" si="1"/>
        <v>2021</v>
      </c>
      <c r="C126" s="37" t="str">
        <f t="shared" si="2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3"/>
        <v>586.12966601178778</v>
      </c>
      <c r="I126" s="29"/>
      <c r="J126" s="29"/>
      <c r="K126" s="29"/>
      <c r="L126" s="71"/>
    </row>
    <row r="127" spans="1:15" ht="12.75" customHeight="1" x14ac:dyDescent="0.2">
      <c r="A127" s="81">
        <f t="shared" si="0"/>
        <v>2</v>
      </c>
      <c r="B127" s="37">
        <f t="shared" si="1"/>
        <v>2021</v>
      </c>
      <c r="C127" s="37" t="str">
        <f t="shared" si="2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3"/>
        <v>610</v>
      </c>
      <c r="I127" s="29"/>
      <c r="J127" s="29"/>
      <c r="K127" s="29"/>
      <c r="L127" s="71"/>
    </row>
    <row r="128" spans="1:15" ht="12.75" customHeight="1" x14ac:dyDescent="0.25">
      <c r="A128" s="81">
        <f t="shared" si="0"/>
        <v>3</v>
      </c>
      <c r="B128" s="37">
        <f t="shared" si="1"/>
        <v>2021</v>
      </c>
      <c r="C128" s="37" t="str">
        <f t="shared" si="2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3"/>
        <v>-740</v>
      </c>
      <c r="I128" s="29"/>
      <c r="J128" s="29"/>
      <c r="K128" s="29"/>
      <c r="L128" s="71"/>
    </row>
    <row r="129" spans="1:14" ht="12.75" customHeight="1" x14ac:dyDescent="0.2">
      <c r="A129" s="81">
        <f t="shared" si="0"/>
        <v>3</v>
      </c>
      <c r="B129" s="37">
        <f t="shared" si="1"/>
        <v>2021</v>
      </c>
      <c r="C129" s="37" t="str">
        <f t="shared" si="2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3"/>
        <v>586.12966601178778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">
      <c r="A130" s="81">
        <f t="shared" si="0"/>
        <v>3</v>
      </c>
      <c r="B130" s="37">
        <f t="shared" si="1"/>
        <v>2021</v>
      </c>
      <c r="C130" s="37" t="str">
        <f t="shared" si="2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3"/>
        <v>610</v>
      </c>
      <c r="I130" s="29"/>
      <c r="J130" s="29"/>
      <c r="K130" s="29"/>
      <c r="L130" s="71"/>
      <c r="M130" s="36"/>
      <c r="N130" s="36"/>
    </row>
    <row r="131" spans="1:14" ht="12.75" customHeight="1" x14ac:dyDescent="0.25">
      <c r="A131" s="82">
        <f t="shared" si="0"/>
        <v>3</v>
      </c>
      <c r="B131" s="47">
        <f t="shared" si="1"/>
        <v>2021</v>
      </c>
      <c r="C131" s="47" t="str">
        <f t="shared" si="2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3"/>
        <v>-740</v>
      </c>
      <c r="I131" s="49"/>
      <c r="J131" s="49"/>
      <c r="K131" s="49"/>
      <c r="L131" s="78"/>
    </row>
    <row r="132" spans="1:14" ht="12.75" customHeight="1" x14ac:dyDescent="0.2">
      <c r="A132" s="80">
        <f t="shared" si="0"/>
        <v>4</v>
      </c>
      <c r="B132" s="42">
        <f t="shared" si="1"/>
        <v>2021</v>
      </c>
      <c r="C132" s="42" t="str">
        <f t="shared" si="2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3"/>
        <v>610</v>
      </c>
      <c r="I132" s="33"/>
      <c r="J132" s="33"/>
      <c r="K132" s="33"/>
      <c r="L132" s="75"/>
    </row>
    <row r="133" spans="1:14" ht="12.75" customHeight="1" x14ac:dyDescent="0.2">
      <c r="A133" s="81">
        <f t="shared" si="0"/>
        <v>4</v>
      </c>
      <c r="B133" s="37">
        <f t="shared" si="1"/>
        <v>2021</v>
      </c>
      <c r="C133" s="37" t="str">
        <f t="shared" si="2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3"/>
        <v>610</v>
      </c>
      <c r="I133" s="29"/>
      <c r="J133" s="29"/>
      <c r="K133" s="29"/>
      <c r="L133" s="71"/>
      <c r="M133" s="36"/>
      <c r="N133" s="36"/>
    </row>
    <row r="134" spans="1:14" ht="12.75" customHeight="1" x14ac:dyDescent="0.2">
      <c r="A134" s="81">
        <f t="shared" si="0"/>
        <v>5</v>
      </c>
      <c r="B134" s="37">
        <f t="shared" si="1"/>
        <v>2021</v>
      </c>
      <c r="C134" s="37" t="str">
        <f t="shared" si="2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3"/>
        <v>-740</v>
      </c>
      <c r="I134" s="29"/>
      <c r="J134" s="29"/>
      <c r="K134" s="29"/>
      <c r="L134" s="71"/>
    </row>
    <row r="135" spans="1:14" ht="12.75" customHeight="1" x14ac:dyDescent="0.2">
      <c r="A135" s="81">
        <f t="shared" si="0"/>
        <v>5</v>
      </c>
      <c r="B135" s="37">
        <f t="shared" si="1"/>
        <v>2021</v>
      </c>
      <c r="C135" s="37" t="str">
        <f t="shared" si="2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3"/>
        <v>610</v>
      </c>
      <c r="I135" s="29"/>
      <c r="J135" s="29"/>
      <c r="K135" s="29"/>
      <c r="L135" s="71"/>
    </row>
    <row r="136" spans="1:14" ht="12.75" customHeight="1" x14ac:dyDescent="0.2">
      <c r="A136" s="81">
        <f t="shared" si="0"/>
        <v>5</v>
      </c>
      <c r="B136" s="37">
        <f t="shared" si="1"/>
        <v>2021</v>
      </c>
      <c r="C136" s="37" t="str">
        <f t="shared" si="2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3"/>
        <v>610</v>
      </c>
      <c r="I136" s="29"/>
      <c r="J136" s="29"/>
      <c r="K136" s="29"/>
      <c r="L136" s="71"/>
      <c r="M136" s="36"/>
      <c r="N136" s="36"/>
    </row>
    <row r="137" spans="1:14" ht="12.75" customHeight="1" x14ac:dyDescent="0.2">
      <c r="A137" s="81">
        <f t="shared" si="0"/>
        <v>6</v>
      </c>
      <c r="B137" s="37">
        <f t="shared" si="1"/>
        <v>2021</v>
      </c>
      <c r="C137" s="37" t="str">
        <f t="shared" si="2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3"/>
        <v>-740</v>
      </c>
      <c r="I137" s="29"/>
      <c r="J137" s="29"/>
      <c r="K137" s="29"/>
      <c r="L137" s="71"/>
    </row>
    <row r="138" spans="1:14" ht="12.75" customHeight="1" x14ac:dyDescent="0.2">
      <c r="A138" s="81">
        <f t="shared" si="0"/>
        <v>6</v>
      </c>
      <c r="B138" s="37">
        <f t="shared" si="1"/>
        <v>2021</v>
      </c>
      <c r="C138" s="37" t="str">
        <f t="shared" si="2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3"/>
        <v>610</v>
      </c>
      <c r="I138" s="29"/>
      <c r="J138" s="29"/>
      <c r="K138" s="29"/>
      <c r="L138" s="71"/>
      <c r="M138" s="32"/>
      <c r="N138" s="32"/>
    </row>
    <row r="139" spans="1:14" ht="12.75" customHeight="1" x14ac:dyDescent="0.2">
      <c r="A139" s="81">
        <f t="shared" si="0"/>
        <v>6</v>
      </c>
      <c r="B139" s="37">
        <f t="shared" si="1"/>
        <v>2021</v>
      </c>
      <c r="C139" s="37" t="str">
        <f t="shared" si="2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3"/>
        <v>610</v>
      </c>
      <c r="I139" s="29"/>
      <c r="J139" s="29"/>
      <c r="K139" s="29"/>
      <c r="L139" s="71"/>
      <c r="M139" s="36"/>
      <c r="N139" s="36"/>
    </row>
    <row r="140" spans="1:14" ht="12.75" customHeight="1" x14ac:dyDescent="0.2">
      <c r="A140" s="82">
        <f t="shared" si="0"/>
        <v>7</v>
      </c>
      <c r="B140" s="47">
        <f t="shared" si="1"/>
        <v>2021</v>
      </c>
      <c r="C140" s="47" t="str">
        <f t="shared" si="2"/>
        <v>Income: 1</v>
      </c>
      <c r="D140" s="48">
        <v>44378</v>
      </c>
      <c r="E140" s="91" t="s">
        <v>51</v>
      </c>
      <c r="F140" s="50">
        <v>1350</v>
      </c>
      <c r="G140" s="96"/>
      <c r="H140" s="77">
        <f t="shared" si="3"/>
        <v>-740</v>
      </c>
      <c r="I140" s="49"/>
      <c r="J140" s="49"/>
      <c r="K140" s="49"/>
      <c r="L140" s="78"/>
    </row>
    <row r="141" spans="1:14" ht="12.75" customHeight="1" x14ac:dyDescent="0.2">
      <c r="A141" s="80">
        <f t="shared" si="0"/>
        <v>7</v>
      </c>
      <c r="B141" s="42">
        <f t="shared" si="1"/>
        <v>2021</v>
      </c>
      <c r="C141" s="42" t="str">
        <f t="shared" si="2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3"/>
        <v>610</v>
      </c>
      <c r="I141" s="33"/>
      <c r="J141" s="33"/>
      <c r="K141" s="33"/>
      <c r="L141" s="75"/>
    </row>
    <row r="142" spans="1:14" ht="12.75" customHeight="1" x14ac:dyDescent="0.2">
      <c r="A142" s="81">
        <f t="shared" si="0"/>
        <v>7</v>
      </c>
      <c r="B142" s="37">
        <f t="shared" si="1"/>
        <v>2021</v>
      </c>
      <c r="C142" s="37" t="str">
        <f t="shared" si="2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3"/>
        <v>610</v>
      </c>
      <c r="I142" s="29"/>
      <c r="J142" s="29"/>
      <c r="K142" s="29"/>
      <c r="L142" s="71"/>
    </row>
    <row r="143" spans="1:14" ht="12.75" customHeight="1" x14ac:dyDescent="0.2">
      <c r="A143" s="81">
        <f t="shared" si="0"/>
        <v>1</v>
      </c>
      <c r="B143" s="37">
        <f t="shared" si="1"/>
        <v>1900</v>
      </c>
      <c r="C143" s="37" t="str">
        <f t="shared" si="2"/>
        <v>Income: 1</v>
      </c>
      <c r="D143" s="28"/>
      <c r="E143" s="29" t="s">
        <v>51</v>
      </c>
      <c r="F143" s="36">
        <v>255</v>
      </c>
      <c r="G143" s="84"/>
      <c r="H143" s="38">
        <f t="shared" si="3"/>
        <v>355</v>
      </c>
      <c r="I143" s="29"/>
      <c r="J143" s="29"/>
      <c r="K143" s="29"/>
      <c r="L143" s="71"/>
      <c r="M143" s="30"/>
    </row>
    <row r="144" spans="1:14" ht="12.75" customHeight="1" x14ac:dyDescent="0.2">
      <c r="A144" s="81">
        <f t="shared" si="0"/>
        <v>8</v>
      </c>
      <c r="B144" s="37">
        <f t="shared" si="1"/>
        <v>2021</v>
      </c>
      <c r="C144" s="37" t="str">
        <f t="shared" si="2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3"/>
        <v>1705</v>
      </c>
      <c r="I144" s="29"/>
      <c r="J144" s="29"/>
      <c r="K144" s="29"/>
      <c r="L144" s="71"/>
      <c r="M144" s="30"/>
    </row>
    <row r="145" spans="1:14" ht="12.75" customHeight="1" x14ac:dyDescent="0.2">
      <c r="A145" s="81">
        <f t="shared" si="0"/>
        <v>8</v>
      </c>
      <c r="B145" s="37">
        <f t="shared" si="1"/>
        <v>2021</v>
      </c>
      <c r="C145" s="37" t="str">
        <f t="shared" si="2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3"/>
        <v>1705</v>
      </c>
      <c r="I145" s="29"/>
      <c r="J145" s="29"/>
      <c r="K145" s="29"/>
      <c r="L145" s="71"/>
      <c r="M145" s="36"/>
      <c r="N145" s="36"/>
    </row>
    <row r="146" spans="1:14" ht="12.75" customHeight="1" x14ac:dyDescent="0.2">
      <c r="A146" s="81">
        <f t="shared" si="0"/>
        <v>1</v>
      </c>
      <c r="B146" s="37">
        <f t="shared" si="1"/>
        <v>1900</v>
      </c>
      <c r="C146" s="37" t="str">
        <f t="shared" si="2"/>
        <v>Income: 1</v>
      </c>
      <c r="D146" s="28"/>
      <c r="E146" s="29" t="s">
        <v>51</v>
      </c>
      <c r="F146" s="36"/>
      <c r="G146" s="84"/>
      <c r="H146" s="38">
        <f t="shared" si="3"/>
        <v>1705</v>
      </c>
      <c r="I146" s="29"/>
      <c r="J146" s="29"/>
      <c r="K146" s="29"/>
      <c r="L146" s="71"/>
    </row>
    <row r="147" spans="1:14" ht="12.75" customHeight="1" x14ac:dyDescent="0.2">
      <c r="A147" s="81">
        <f t="shared" si="0"/>
        <v>9</v>
      </c>
      <c r="B147" s="37">
        <f t="shared" si="1"/>
        <v>2021</v>
      </c>
      <c r="C147" s="37" t="str">
        <f t="shared" si="2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3"/>
        <v>3305</v>
      </c>
      <c r="I147" s="29"/>
      <c r="J147" s="29"/>
      <c r="K147" s="29"/>
      <c r="L147" s="71"/>
      <c r="M147" s="32"/>
      <c r="N147" s="32"/>
    </row>
    <row r="148" spans="1:14" ht="12.75" customHeight="1" x14ac:dyDescent="0.2">
      <c r="A148" s="81">
        <f t="shared" si="0"/>
        <v>9</v>
      </c>
      <c r="B148" s="37">
        <f t="shared" si="1"/>
        <v>2021</v>
      </c>
      <c r="C148" s="37" t="str">
        <f t="shared" si="2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3"/>
        <v>3305</v>
      </c>
      <c r="I148" s="29"/>
      <c r="J148" s="29"/>
      <c r="K148" s="29"/>
      <c r="L148" s="71"/>
      <c r="M148" s="36"/>
      <c r="N148" s="36"/>
    </row>
    <row r="149" spans="1:14" ht="12.75" customHeight="1" x14ac:dyDescent="0.2">
      <c r="A149" s="82">
        <f t="shared" si="0"/>
        <v>1</v>
      </c>
      <c r="B149" s="47">
        <f t="shared" si="1"/>
        <v>1900</v>
      </c>
      <c r="C149" s="47" t="str">
        <f t="shared" si="2"/>
        <v>Income: 1</v>
      </c>
      <c r="D149" s="48"/>
      <c r="E149" s="49" t="s">
        <v>51</v>
      </c>
      <c r="F149" s="50"/>
      <c r="G149" s="96"/>
      <c r="H149" s="77">
        <f t="shared" si="3"/>
        <v>3305</v>
      </c>
      <c r="I149" s="49"/>
      <c r="J149" s="49"/>
      <c r="K149" s="49"/>
      <c r="L149" s="78"/>
    </row>
    <row r="150" spans="1:14" ht="12.75" customHeight="1" x14ac:dyDescent="0.2">
      <c r="A150" s="80">
        <f t="shared" si="0"/>
        <v>10</v>
      </c>
      <c r="B150" s="42">
        <f t="shared" si="1"/>
        <v>2021</v>
      </c>
      <c r="C150" s="42" t="str">
        <f t="shared" si="2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3"/>
        <v>4905</v>
      </c>
      <c r="I150" s="33"/>
      <c r="J150" s="33"/>
      <c r="K150" s="33"/>
      <c r="L150" s="75"/>
    </row>
    <row r="151" spans="1:14" ht="12.75" customHeight="1" x14ac:dyDescent="0.2">
      <c r="A151" s="81">
        <f t="shared" si="0"/>
        <v>10</v>
      </c>
      <c r="B151" s="37">
        <f t="shared" si="1"/>
        <v>2021</v>
      </c>
      <c r="C151" s="37" t="str">
        <f t="shared" si="2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3"/>
        <v>4905</v>
      </c>
      <c r="I151" s="29"/>
      <c r="J151" s="29"/>
      <c r="K151" s="29"/>
      <c r="L151" s="71"/>
    </row>
    <row r="152" spans="1:14" ht="12.75" customHeight="1" x14ac:dyDescent="0.2">
      <c r="A152" s="81">
        <f t="shared" si="0"/>
        <v>10</v>
      </c>
      <c r="B152" s="37">
        <f t="shared" si="1"/>
        <v>2021</v>
      </c>
      <c r="C152" s="37" t="str">
        <f t="shared" si="2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3"/>
        <v>-495</v>
      </c>
      <c r="I152" s="29"/>
      <c r="J152" s="29"/>
      <c r="K152" s="29"/>
      <c r="L152" s="71"/>
    </row>
    <row r="153" spans="1:14" ht="12.75" customHeight="1" x14ac:dyDescent="0.2">
      <c r="A153" s="81">
        <f t="shared" si="0"/>
        <v>10</v>
      </c>
      <c r="B153" s="37">
        <f t="shared" si="1"/>
        <v>2021</v>
      </c>
      <c r="C153" s="37" t="str">
        <f t="shared" si="2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3"/>
        <v>-995</v>
      </c>
      <c r="I153" s="29"/>
      <c r="J153" s="29"/>
      <c r="K153" s="29"/>
      <c r="L153" s="71"/>
    </row>
    <row r="154" spans="1:14" ht="12.75" customHeight="1" x14ac:dyDescent="0.2">
      <c r="A154" s="81">
        <f t="shared" si="0"/>
        <v>11</v>
      </c>
      <c r="B154" s="37">
        <f t="shared" si="1"/>
        <v>2021</v>
      </c>
      <c r="C154" s="37" t="str">
        <f t="shared" si="2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3"/>
        <v>605</v>
      </c>
      <c r="I154" s="29"/>
      <c r="J154" s="29"/>
      <c r="K154" s="29"/>
      <c r="L154" s="71"/>
      <c r="M154" s="32"/>
      <c r="N154" s="32"/>
    </row>
    <row r="155" spans="1:14" ht="12.75" customHeight="1" x14ac:dyDescent="0.2">
      <c r="A155" s="82">
        <f t="shared" si="0"/>
        <v>12</v>
      </c>
      <c r="B155" s="47">
        <f t="shared" si="1"/>
        <v>2021</v>
      </c>
      <c r="C155" s="47" t="str">
        <f t="shared" si="2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3"/>
        <v>-1070</v>
      </c>
      <c r="I155" s="49"/>
      <c r="J155" s="49"/>
      <c r="K155" s="49"/>
      <c r="L155" s="78"/>
      <c r="M155" s="36"/>
      <c r="N155" s="36"/>
    </row>
    <row r="156" spans="1:14" ht="12.75" customHeight="1" x14ac:dyDescent="0.2">
      <c r="A156" s="80">
        <f t="shared" si="0"/>
        <v>12</v>
      </c>
      <c r="B156" s="42">
        <f t="shared" si="1"/>
        <v>2021</v>
      </c>
      <c r="C156" s="42" t="str">
        <f t="shared" si="2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3"/>
        <v>530</v>
      </c>
      <c r="I156" s="33"/>
      <c r="J156" s="33"/>
      <c r="K156" s="33"/>
      <c r="L156" s="75"/>
    </row>
    <row r="157" spans="1:14" ht="12.75" customHeight="1" x14ac:dyDescent="0.2">
      <c r="A157" s="81">
        <f t="shared" si="0"/>
        <v>12</v>
      </c>
      <c r="B157" s="37">
        <f t="shared" si="1"/>
        <v>2021</v>
      </c>
      <c r="C157" s="37" t="str">
        <f t="shared" si="2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3"/>
        <v>530</v>
      </c>
      <c r="I157" s="29"/>
      <c r="J157" s="29"/>
      <c r="K157" s="29"/>
      <c r="L157" s="71"/>
    </row>
    <row r="158" spans="1:14" ht="12.75" customHeight="1" x14ac:dyDescent="0.2">
      <c r="A158" s="81">
        <f t="shared" si="0"/>
        <v>1</v>
      </c>
      <c r="B158" s="37">
        <f t="shared" si="1"/>
        <v>2022</v>
      </c>
      <c r="C158" s="37" t="str">
        <f t="shared" si="2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3"/>
        <v>-1350</v>
      </c>
      <c r="I158" s="29"/>
      <c r="J158" s="29"/>
      <c r="K158" s="29"/>
      <c r="L158" s="71"/>
    </row>
    <row r="159" spans="1:14" ht="12.75" customHeight="1" x14ac:dyDescent="0.2">
      <c r="A159" s="81">
        <f t="shared" si="0"/>
        <v>1</v>
      </c>
      <c r="B159" s="37">
        <f t="shared" si="1"/>
        <v>2022</v>
      </c>
      <c r="C159" s="37" t="str">
        <f t="shared" si="2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3"/>
        <v>-995</v>
      </c>
      <c r="I159" s="29"/>
      <c r="J159" s="29"/>
      <c r="K159" s="29"/>
      <c r="L159" s="71"/>
    </row>
    <row r="160" spans="1:14" ht="12.75" customHeight="1" x14ac:dyDescent="0.2">
      <c r="A160" s="81">
        <f t="shared" si="0"/>
        <v>1</v>
      </c>
      <c r="B160" s="37">
        <f t="shared" si="1"/>
        <v>2022</v>
      </c>
      <c r="C160" s="37" t="str">
        <f t="shared" si="2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3"/>
        <v>605</v>
      </c>
      <c r="I160" s="29"/>
      <c r="J160" s="29"/>
      <c r="K160" s="29"/>
      <c r="L160" s="71"/>
    </row>
    <row r="161" spans="1:26" ht="12.75" customHeight="1" x14ac:dyDescent="0.2">
      <c r="A161" s="81">
        <f t="shared" si="0"/>
        <v>2</v>
      </c>
      <c r="B161" s="37">
        <f t="shared" si="1"/>
        <v>2022</v>
      </c>
      <c r="C161" s="37" t="str">
        <f t="shared" si="2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3"/>
        <v>-1245</v>
      </c>
      <c r="I161" s="29"/>
      <c r="J161" s="29"/>
      <c r="K161" s="29"/>
      <c r="L161" s="71"/>
    </row>
    <row r="162" spans="1:26" ht="12.75" customHeight="1" x14ac:dyDescent="0.2">
      <c r="A162" s="81">
        <f t="shared" si="0"/>
        <v>1</v>
      </c>
      <c r="B162" s="37">
        <f t="shared" si="1"/>
        <v>2022</v>
      </c>
      <c r="C162" s="37" t="str">
        <f t="shared" si="2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3"/>
        <v>-995</v>
      </c>
      <c r="I162" s="29"/>
      <c r="J162" s="29"/>
      <c r="K162" s="29"/>
      <c r="L162" s="71"/>
    </row>
    <row r="163" spans="1:26" ht="12.75" customHeight="1" x14ac:dyDescent="0.2">
      <c r="A163" s="81">
        <f t="shared" si="0"/>
        <v>2</v>
      </c>
      <c r="B163" s="37">
        <f t="shared" si="1"/>
        <v>2022</v>
      </c>
      <c r="C163" s="37" t="str">
        <f t="shared" si="2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3"/>
        <v>730</v>
      </c>
      <c r="I163" s="29"/>
      <c r="J163" s="29"/>
      <c r="K163" s="29"/>
      <c r="L163" s="71"/>
      <c r="M163" s="32"/>
      <c r="N163" s="32"/>
    </row>
    <row r="164" spans="1:26" ht="12.75" customHeight="1" thickBot="1" x14ac:dyDescent="0.25">
      <c r="A164" s="81">
        <f t="shared" si="0"/>
        <v>3</v>
      </c>
      <c r="B164" s="102">
        <f t="shared" si="1"/>
        <v>2022</v>
      </c>
      <c r="C164" s="102" t="str">
        <f t="shared" si="2"/>
        <v>Income: 1</v>
      </c>
      <c r="D164" s="103">
        <v>44623</v>
      </c>
      <c r="E164" s="104" t="s">
        <v>51</v>
      </c>
      <c r="F164" s="105">
        <v>1725</v>
      </c>
      <c r="G164" s="106"/>
      <c r="H164" s="107">
        <f t="shared" si="3"/>
        <v>-995</v>
      </c>
      <c r="I164" s="104"/>
      <c r="J164" s="104"/>
      <c r="K164" s="104"/>
      <c r="L164" s="108"/>
      <c r="M164" s="36"/>
      <c r="N164" s="36"/>
    </row>
    <row r="165" spans="1:26" ht="12.75" customHeight="1" x14ac:dyDescent="0.2">
      <c r="A165" s="109">
        <f t="shared" si="0"/>
        <v>3</v>
      </c>
      <c r="B165" s="110">
        <f t="shared" si="1"/>
        <v>2022</v>
      </c>
      <c r="C165" s="110" t="str">
        <f t="shared" si="2"/>
        <v>Rent: 1</v>
      </c>
      <c r="D165" s="111" t="str">
        <f>MONTH(D164) &amp; "/28/" &amp; YEAR(D164)</f>
        <v>3/28/2022</v>
      </c>
      <c r="E165" s="112" t="str">
        <f>"Rent: "&amp;LOOKUP(A165-1, Months, TextMonths)&amp;" '"&amp;B165</f>
        <v>Rent: Mar '2022</v>
      </c>
      <c r="F165" s="113"/>
      <c r="G165" s="114">
        <v>1725</v>
      </c>
      <c r="H165" s="115">
        <f t="shared" si="3"/>
        <v>730</v>
      </c>
      <c r="I165" s="116"/>
      <c r="J165" s="116"/>
      <c r="K165" s="116"/>
      <c r="L165" s="117"/>
    </row>
    <row r="166" spans="1:26" ht="12.75" customHeight="1" x14ac:dyDescent="0.2">
      <c r="A166" s="118">
        <f t="shared" si="0"/>
        <v>4</v>
      </c>
      <c r="B166" s="102">
        <f t="shared" si="1"/>
        <v>2022</v>
      </c>
      <c r="C166" s="102" t="str">
        <f t="shared" si="2"/>
        <v>Income: 1</v>
      </c>
      <c r="D166" s="103">
        <v>44652</v>
      </c>
      <c r="E166" s="104" t="s">
        <v>51</v>
      </c>
      <c r="F166" s="105">
        <v>1725</v>
      </c>
      <c r="G166" s="106"/>
      <c r="H166" s="107">
        <f t="shared" si="3"/>
        <v>-995</v>
      </c>
      <c r="I166" s="104"/>
      <c r="J166" s="104"/>
      <c r="K166" s="104"/>
      <c r="L166" s="11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">
      <c r="A167" s="118">
        <f t="shared" si="0"/>
        <v>4</v>
      </c>
      <c r="B167" s="102">
        <f t="shared" si="1"/>
        <v>2022</v>
      </c>
      <c r="C167" s="102" t="str">
        <f t="shared" si="2"/>
        <v>Rent: 1</v>
      </c>
      <c r="D167" s="120" t="str">
        <f>MONTH(D164)+1 &amp; "/28/" &amp; YEAR(D164)</f>
        <v>4/28/2022</v>
      </c>
      <c r="E167" s="121" t="str">
        <f>"Rent: "&amp;LOOKUP(A167-1, Months, TextMonths)&amp;" '"&amp;B167</f>
        <v>Rent: Apr '2022</v>
      </c>
      <c r="F167" s="105"/>
      <c r="G167" s="106">
        <v>1725</v>
      </c>
      <c r="H167" s="107">
        <f t="shared" si="3"/>
        <v>730</v>
      </c>
      <c r="I167" s="104"/>
      <c r="J167" s="104"/>
      <c r="K167" s="104"/>
      <c r="L167" s="11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">
      <c r="A168" s="118">
        <f t="shared" si="0"/>
        <v>5</v>
      </c>
      <c r="B168" s="102">
        <f t="shared" si="1"/>
        <v>2022</v>
      </c>
      <c r="C168" s="102" t="str">
        <f t="shared" si="2"/>
        <v>Income: 1</v>
      </c>
      <c r="D168" s="103">
        <v>44683</v>
      </c>
      <c r="E168" s="104" t="s">
        <v>51</v>
      </c>
      <c r="F168" s="105">
        <v>1725</v>
      </c>
      <c r="G168" s="105"/>
      <c r="H168" s="107">
        <f t="shared" si="3"/>
        <v>-995</v>
      </c>
      <c r="I168" s="122"/>
      <c r="J168" s="122"/>
      <c r="K168" s="122"/>
      <c r="L168" s="123"/>
    </row>
    <row r="169" spans="1:26" ht="12.75" customHeight="1" x14ac:dyDescent="0.2">
      <c r="A169" s="118">
        <f t="shared" si="0"/>
        <v>5</v>
      </c>
      <c r="B169" s="102">
        <f t="shared" si="1"/>
        <v>2022</v>
      </c>
      <c r="C169" s="102" t="str">
        <f t="shared" si="2"/>
        <v>Rent: 1</v>
      </c>
      <c r="D169" s="120" t="str">
        <f>MONTH(D166)+1 &amp; "/28/" &amp; YEAR(D166)</f>
        <v>5/28/2022</v>
      </c>
      <c r="E169" s="121" t="str">
        <f>"Rent: "&amp;LOOKUP(A169-1, Months, TextMonths)&amp;" '"&amp;B169</f>
        <v>Rent: May '2022</v>
      </c>
      <c r="F169" s="105"/>
      <c r="G169" s="106">
        <v>1725</v>
      </c>
      <c r="H169" s="107">
        <f t="shared" si="3"/>
        <v>730</v>
      </c>
      <c r="I169" s="104"/>
      <c r="J169" s="104"/>
      <c r="K169" s="104"/>
      <c r="L169" s="11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">
      <c r="A170" s="118">
        <f t="shared" si="0"/>
        <v>6</v>
      </c>
      <c r="B170" s="102">
        <f t="shared" si="1"/>
        <v>2022</v>
      </c>
      <c r="C170" s="102" t="str">
        <f t="shared" si="2"/>
        <v>Income: 1</v>
      </c>
      <c r="D170" s="103">
        <v>44718</v>
      </c>
      <c r="E170" s="104" t="s">
        <v>51</v>
      </c>
      <c r="F170" s="105">
        <v>1780</v>
      </c>
      <c r="G170" s="105"/>
      <c r="H170" s="107">
        <f t="shared" si="3"/>
        <v>-1050</v>
      </c>
      <c r="I170" s="122"/>
      <c r="J170" s="122"/>
      <c r="K170" s="122"/>
      <c r="L170" s="123"/>
    </row>
    <row r="171" spans="1:26" ht="12.75" customHeight="1" x14ac:dyDescent="0.2">
      <c r="A171" s="118">
        <f t="shared" si="0"/>
        <v>6</v>
      </c>
      <c r="B171" s="102">
        <f t="shared" si="1"/>
        <v>2022</v>
      </c>
      <c r="C171" s="102" t="str">
        <f t="shared" si="2"/>
        <v/>
      </c>
      <c r="D171" s="103">
        <v>44718</v>
      </c>
      <c r="E171" s="104" t="s">
        <v>52</v>
      </c>
      <c r="F171" s="105"/>
      <c r="G171" s="105">
        <v>55</v>
      </c>
      <c r="H171" s="107">
        <f t="shared" si="3"/>
        <v>-995</v>
      </c>
      <c r="I171" s="122"/>
      <c r="J171" s="122"/>
      <c r="K171" s="122"/>
      <c r="L171" s="123"/>
      <c r="M171" s="32"/>
      <c r="N171" s="32"/>
    </row>
    <row r="172" spans="1:26" ht="12.75" customHeight="1" thickBot="1" x14ac:dyDescent="0.25">
      <c r="A172" s="124">
        <f t="shared" ref="A172:A175" si="4">MONTH(D172)</f>
        <v>6</v>
      </c>
      <c r="B172" s="125">
        <f t="shared" ref="B172:B175" si="5">YEAR(D172)</f>
        <v>2022</v>
      </c>
      <c r="C172" s="125" t="str">
        <f t="shared" ref="C172:C175" si="6">IFERROR("Rent: "&amp;FIND("Rent",E172),IFERROR("Priv Tax: "&amp;FIND("Tax",E172), IFERROR("Income: "&amp;FIND("Payment",E172,1),"")))</f>
        <v>Rent: 1</v>
      </c>
      <c r="D172" s="126" t="str">
        <f>MONTH(D169)+1 &amp; "/28/" &amp; YEAR(D169)</f>
        <v>6/28/2022</v>
      </c>
      <c r="E172" s="127" t="str">
        <f>"Rent: "&amp;LOOKUP(A172-1, Months, TextMonths)&amp;" '"&amp;B172</f>
        <v>Rent: Jun '2022</v>
      </c>
      <c r="F172" s="128"/>
      <c r="G172" s="129">
        <v>1725</v>
      </c>
      <c r="H172" s="130">
        <f t="shared" ref="H172" si="7">H171+G172-F172</f>
        <v>730</v>
      </c>
      <c r="I172" s="131"/>
      <c r="J172" s="131"/>
      <c r="K172" s="131"/>
      <c r="L172" s="132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">
      <c r="A173" s="109">
        <f t="shared" si="4"/>
        <v>7</v>
      </c>
      <c r="B173" s="110">
        <f t="shared" si="5"/>
        <v>2022</v>
      </c>
      <c r="C173" s="110" t="str">
        <f t="shared" si="6"/>
        <v>Income: 1</v>
      </c>
      <c r="D173" s="143">
        <v>44747</v>
      </c>
      <c r="E173" s="135" t="s">
        <v>51</v>
      </c>
      <c r="F173" s="113">
        <v>1725</v>
      </c>
      <c r="G173" s="113"/>
      <c r="H173" s="144">
        <v>0</v>
      </c>
      <c r="I173" s="145"/>
      <c r="J173" s="116"/>
      <c r="K173" s="116"/>
      <c r="L173" s="117"/>
    </row>
    <row r="174" spans="1:26" ht="12.75" customHeight="1" x14ac:dyDescent="0.2">
      <c r="A174" s="118">
        <f t="shared" si="4"/>
        <v>7</v>
      </c>
      <c r="B174" s="102">
        <f t="shared" si="5"/>
        <v>2022</v>
      </c>
      <c r="C174" s="102" t="str">
        <f t="shared" si="6"/>
        <v>Rent: 1</v>
      </c>
      <c r="D174" s="120" t="str">
        <f>MONTH(D171)+1 &amp; "/28/" &amp; YEAR(D171)</f>
        <v>7/28/2022</v>
      </c>
      <c r="E174" s="121" t="str">
        <f>"Rent: "&amp;LOOKUP(A174-1, Months, TextMonths)&amp;" '"&amp;B174</f>
        <v>Rent: Jul '2022</v>
      </c>
      <c r="F174" s="105"/>
      <c r="G174" s="106">
        <v>1725</v>
      </c>
      <c r="H174" s="107">
        <f t="shared" ref="H174:H175" si="8">H173+G174-F174</f>
        <v>1725</v>
      </c>
      <c r="I174" s="104"/>
      <c r="J174" s="104"/>
      <c r="K174" s="104"/>
      <c r="L174" s="11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">
      <c r="A175" s="118">
        <f t="shared" si="4"/>
        <v>8</v>
      </c>
      <c r="B175" s="102">
        <f t="shared" si="5"/>
        <v>2022</v>
      </c>
      <c r="C175" s="102" t="str">
        <f t="shared" si="6"/>
        <v>Income: 1</v>
      </c>
      <c r="D175" s="103">
        <v>44774</v>
      </c>
      <c r="E175" s="104" t="s">
        <v>51</v>
      </c>
      <c r="F175" s="105">
        <v>1780</v>
      </c>
      <c r="G175" s="105"/>
      <c r="H175" s="107">
        <f t="shared" si="8"/>
        <v>-55</v>
      </c>
      <c r="I175" s="122"/>
      <c r="J175" s="122"/>
      <c r="K175" s="122"/>
      <c r="L175" s="123"/>
    </row>
    <row r="176" spans="1:26" ht="12.75" customHeight="1" x14ac:dyDescent="0.2">
      <c r="A176" s="118">
        <f t="shared" ref="A176:A178" si="9">MONTH(D176)</f>
        <v>8</v>
      </c>
      <c r="B176" s="102">
        <f t="shared" ref="B176:B178" si="10">YEAR(D176)</f>
        <v>2022</v>
      </c>
      <c r="C176" s="102" t="str">
        <f t="shared" ref="C176:C178" si="11">IFERROR("Rent: "&amp;FIND("Rent",E176),IFERROR("Priv Tax: "&amp;FIND("Tax",E176), IFERROR("Income: "&amp;FIND("Payment",E176,1),"")))</f>
        <v>Rent: 1</v>
      </c>
      <c r="D176" s="120" t="str">
        <f>MONTH(D173)+1 &amp; "/28/" &amp; YEAR(D173)</f>
        <v>8/28/2022</v>
      </c>
      <c r="E176" s="121" t="str">
        <f>"Rent: "&amp;LOOKUP(A176-1, Months, TextMonths)&amp;" '"&amp;B176</f>
        <v>Rent: Aug '2022</v>
      </c>
      <c r="F176" s="105"/>
      <c r="G176" s="106">
        <v>1725</v>
      </c>
      <c r="H176" s="107">
        <f t="shared" ref="H176:H178" si="12">H175+G176-F176</f>
        <v>1670</v>
      </c>
      <c r="I176" s="122"/>
      <c r="J176" s="122"/>
      <c r="K176" s="122"/>
      <c r="L176" s="123"/>
    </row>
    <row r="177" spans="1:14" ht="12.75" customHeight="1" x14ac:dyDescent="0.2">
      <c r="A177" s="118">
        <f t="shared" si="9"/>
        <v>9</v>
      </c>
      <c r="B177" s="102">
        <f t="shared" si="10"/>
        <v>2022</v>
      </c>
      <c r="C177" s="102" t="str">
        <f t="shared" si="11"/>
        <v>Income: 1</v>
      </c>
      <c r="D177" s="103">
        <v>44810</v>
      </c>
      <c r="E177" s="104" t="s">
        <v>51</v>
      </c>
      <c r="F177" s="105">
        <v>1780</v>
      </c>
      <c r="G177" s="105"/>
      <c r="H177" s="107">
        <f t="shared" si="12"/>
        <v>-110</v>
      </c>
      <c r="I177" s="122"/>
      <c r="J177" s="122"/>
      <c r="K177" s="122"/>
      <c r="L177" s="123"/>
      <c r="M177" s="32"/>
      <c r="N177" s="32"/>
    </row>
    <row r="178" spans="1:14" ht="12.75" customHeight="1" thickBot="1" x14ac:dyDescent="0.25">
      <c r="A178" s="124">
        <f t="shared" si="9"/>
        <v>9</v>
      </c>
      <c r="B178" s="125">
        <f t="shared" si="10"/>
        <v>2022</v>
      </c>
      <c r="C178" s="125" t="str">
        <f t="shared" si="11"/>
        <v/>
      </c>
      <c r="D178" s="141">
        <v>44810</v>
      </c>
      <c r="E178" s="131" t="s">
        <v>52</v>
      </c>
      <c r="F178" s="128"/>
      <c r="G178" s="128">
        <v>55</v>
      </c>
      <c r="H178" s="130">
        <f t="shared" si="12"/>
        <v>-55</v>
      </c>
      <c r="I178" s="139"/>
      <c r="J178" s="139"/>
      <c r="K178" s="139"/>
      <c r="L178" s="140"/>
      <c r="M178" s="36"/>
      <c r="N178" s="36"/>
    </row>
    <row r="179" spans="1:14" ht="12.75" customHeight="1" x14ac:dyDescent="0.2">
      <c r="A179" s="109">
        <f t="shared" ref="A179:A183" si="13">MONTH(D179)</f>
        <v>9</v>
      </c>
      <c r="B179" s="110">
        <f t="shared" ref="B179:B183" si="14">YEAR(D179)</f>
        <v>2022</v>
      </c>
      <c r="C179" s="110" t="str">
        <f t="shared" ref="C179:C183" si="15">IFERROR("Rent: "&amp;FIND("Rent",E179),IFERROR("Priv Tax: "&amp;FIND("Tax",E179), IFERROR("Income: "&amp;FIND("Payment",E179,1),"")))</f>
        <v>Rent: 1</v>
      </c>
      <c r="D179" s="111" t="str">
        <f>MONTH(D176)+1 &amp; "/28/" &amp; YEAR(D176)</f>
        <v>9/28/2022</v>
      </c>
      <c r="E179" s="112" t="str">
        <f>"Rent: "&amp;LOOKUP(A179-1, Months, TextMonths)&amp;" '"&amp;B179</f>
        <v>Rent: Sep '2022</v>
      </c>
      <c r="F179" s="113"/>
      <c r="G179" s="114">
        <v>1725</v>
      </c>
      <c r="H179" s="115">
        <f t="shared" ref="H179:H183" si="16">H178+G179-F179</f>
        <v>1670</v>
      </c>
      <c r="I179" s="116"/>
      <c r="J179" s="116"/>
      <c r="K179" s="116"/>
      <c r="L179" s="117"/>
    </row>
    <row r="180" spans="1:14" ht="12.75" customHeight="1" x14ac:dyDescent="0.2">
      <c r="A180" s="118">
        <f t="shared" si="13"/>
        <v>10</v>
      </c>
      <c r="B180" s="102">
        <f t="shared" si="14"/>
        <v>2022</v>
      </c>
      <c r="C180" s="102" t="str">
        <f t="shared" si="15"/>
        <v>Income: 1</v>
      </c>
      <c r="D180" s="103">
        <v>44845</v>
      </c>
      <c r="E180" s="104" t="s">
        <v>51</v>
      </c>
      <c r="F180" s="105">
        <v>1895</v>
      </c>
      <c r="G180" s="105"/>
      <c r="H180" s="107">
        <f t="shared" si="16"/>
        <v>-225</v>
      </c>
      <c r="I180" s="122"/>
      <c r="J180" s="122"/>
      <c r="K180" s="122"/>
      <c r="L180" s="123"/>
    </row>
    <row r="181" spans="1:14" ht="12.75" customHeight="1" x14ac:dyDescent="0.2">
      <c r="A181" s="118">
        <f t="shared" si="13"/>
        <v>9</v>
      </c>
      <c r="B181" s="102">
        <f t="shared" si="14"/>
        <v>2022</v>
      </c>
      <c r="C181" s="102" t="str">
        <f t="shared" si="15"/>
        <v/>
      </c>
      <c r="D181" s="103">
        <v>44810</v>
      </c>
      <c r="E181" s="104" t="s">
        <v>52</v>
      </c>
      <c r="F181" s="105"/>
      <c r="G181" s="105">
        <v>170</v>
      </c>
      <c r="H181" s="107">
        <f t="shared" si="16"/>
        <v>-55</v>
      </c>
      <c r="I181" s="122"/>
      <c r="J181" s="122"/>
      <c r="K181" s="122"/>
      <c r="L181" s="123"/>
    </row>
    <row r="182" spans="1:14" ht="12.75" customHeight="1" x14ac:dyDescent="0.2">
      <c r="A182" s="118">
        <f t="shared" si="13"/>
        <v>10</v>
      </c>
      <c r="B182" s="102">
        <f t="shared" si="14"/>
        <v>2022</v>
      </c>
      <c r="C182" s="102" t="str">
        <f t="shared" si="15"/>
        <v>Rent: 1</v>
      </c>
      <c r="D182" s="120" t="str">
        <f>MONTH(D179)+1 &amp; "/28/" &amp; YEAR(D179)</f>
        <v>10/28/2022</v>
      </c>
      <c r="E182" s="121" t="str">
        <f>"Rent: "&amp;LOOKUP(A182-1, Months, TextMonths)&amp;" '"&amp;B182</f>
        <v>Rent: Oct '2022</v>
      </c>
      <c r="F182" s="105"/>
      <c r="G182" s="106">
        <v>1800</v>
      </c>
      <c r="H182" s="107">
        <f t="shared" si="16"/>
        <v>1745</v>
      </c>
      <c r="I182" s="122"/>
      <c r="J182" s="122"/>
      <c r="K182" s="122"/>
      <c r="L182" s="123"/>
    </row>
    <row r="183" spans="1:14" ht="12.75" customHeight="1" x14ac:dyDescent="0.2">
      <c r="A183" s="118">
        <f t="shared" si="13"/>
        <v>11</v>
      </c>
      <c r="B183" s="102">
        <f t="shared" si="14"/>
        <v>2022</v>
      </c>
      <c r="C183" s="102" t="str">
        <f t="shared" si="15"/>
        <v>Income: 1</v>
      </c>
      <c r="D183" s="103">
        <v>44867</v>
      </c>
      <c r="E183" s="104" t="s">
        <v>51</v>
      </c>
      <c r="F183" s="105">
        <v>1845</v>
      </c>
      <c r="G183" s="105"/>
      <c r="H183" s="107">
        <f t="shared" si="16"/>
        <v>-100</v>
      </c>
      <c r="I183" s="122"/>
      <c r="J183" s="122"/>
      <c r="K183" s="122"/>
      <c r="L183" s="123"/>
    </row>
    <row r="184" spans="1:14" ht="12.75" customHeight="1" x14ac:dyDescent="0.2">
      <c r="A184" s="118">
        <f t="shared" ref="A184:A186" si="17">MONTH(D184)</f>
        <v>11</v>
      </c>
      <c r="B184" s="102">
        <f t="shared" ref="B184:B186" si="18">YEAR(D184)</f>
        <v>2022</v>
      </c>
      <c r="C184" s="102" t="str">
        <f t="shared" ref="C184:C186" si="19">IFERROR("Rent: "&amp;FIND("Rent",E184),IFERROR("Priv Tax: "&amp;FIND("Tax",E184), IFERROR("Income: "&amp;FIND("Payment",E184,1),"")))</f>
        <v/>
      </c>
      <c r="D184" s="103">
        <v>44867</v>
      </c>
      <c r="E184" s="104" t="s">
        <v>52</v>
      </c>
      <c r="F184" s="105"/>
      <c r="G184" s="105">
        <v>45</v>
      </c>
      <c r="H184" s="107">
        <f t="shared" ref="H184:H186" si="20">H183+G184-F184</f>
        <v>-55</v>
      </c>
      <c r="I184" s="122"/>
      <c r="J184" s="122"/>
      <c r="K184" s="122"/>
      <c r="L184" s="123"/>
    </row>
    <row r="185" spans="1:14" ht="12.75" customHeight="1" x14ac:dyDescent="0.2">
      <c r="A185" s="118">
        <f t="shared" si="17"/>
        <v>11</v>
      </c>
      <c r="B185" s="102">
        <f t="shared" si="18"/>
        <v>2022</v>
      </c>
      <c r="C185" s="102" t="str">
        <f t="shared" si="19"/>
        <v>Rent: 1</v>
      </c>
      <c r="D185" s="120" t="str">
        <f>MONTH(D182)+1 &amp; "/28/" &amp; YEAR(D182)</f>
        <v>11/28/2022</v>
      </c>
      <c r="E185" s="121" t="str">
        <f>"Rent: "&amp;LOOKUP(A185-1, Months, TextMonths)&amp;" '"&amp;B185</f>
        <v>Rent: Nov '2022</v>
      </c>
      <c r="F185" s="105"/>
      <c r="G185" s="106">
        <v>1800</v>
      </c>
      <c r="H185" s="107">
        <f t="shared" si="20"/>
        <v>1745</v>
      </c>
      <c r="I185" s="122"/>
      <c r="J185" s="122"/>
      <c r="K185" s="122"/>
      <c r="L185" s="123"/>
    </row>
    <row r="186" spans="1:14" ht="12.75" customHeight="1" x14ac:dyDescent="0.2">
      <c r="A186" s="118">
        <f t="shared" si="17"/>
        <v>11</v>
      </c>
      <c r="B186" s="102">
        <f t="shared" si="18"/>
        <v>2022</v>
      </c>
      <c r="C186" s="102" t="str">
        <f t="shared" si="19"/>
        <v>Income: 1</v>
      </c>
      <c r="D186" s="103">
        <v>44867</v>
      </c>
      <c r="E186" s="104" t="s">
        <v>51</v>
      </c>
      <c r="F186" s="105">
        <v>1800</v>
      </c>
      <c r="G186" s="105"/>
      <c r="H186" s="107">
        <f t="shared" si="20"/>
        <v>-55</v>
      </c>
      <c r="I186" s="122"/>
      <c r="J186" s="122"/>
      <c r="K186" s="122"/>
      <c r="L186" s="123"/>
      <c r="M186" s="32"/>
      <c r="N186" s="32"/>
    </row>
    <row r="187" spans="1:14" ht="12.75" customHeight="1" thickBot="1" x14ac:dyDescent="0.25">
      <c r="A187" s="124">
        <f t="shared" ref="A187:A189" si="21">MONTH(D187)</f>
        <v>11</v>
      </c>
      <c r="B187" s="125">
        <f t="shared" ref="B187:B189" si="22">YEAR(D187)</f>
        <v>2022</v>
      </c>
      <c r="C187" s="125" t="str">
        <f t="shared" ref="C187:C189" si="23">IFERROR("Rent: "&amp;FIND("Rent",E187),IFERROR("Priv Tax: "&amp;FIND("Tax",E187), IFERROR("Income: "&amp;FIND("Payment",E187,1),"")))</f>
        <v/>
      </c>
      <c r="D187" s="141">
        <v>44867</v>
      </c>
      <c r="E187" s="131" t="s">
        <v>52</v>
      </c>
      <c r="F187" s="128"/>
      <c r="G187" s="128">
        <v>55</v>
      </c>
      <c r="H187" s="130">
        <f t="shared" ref="H187:H205" si="24">H186+G187-F187</f>
        <v>0</v>
      </c>
      <c r="I187" s="139"/>
      <c r="J187" s="139"/>
      <c r="K187" s="139"/>
      <c r="L187" s="140"/>
      <c r="M187" s="36"/>
      <c r="N187" s="36"/>
    </row>
    <row r="188" spans="1:14" ht="12.75" customHeight="1" x14ac:dyDescent="0.2">
      <c r="A188" s="118">
        <f t="shared" si="21"/>
        <v>12</v>
      </c>
      <c r="B188" s="102">
        <f t="shared" si="22"/>
        <v>2022</v>
      </c>
      <c r="C188" s="102" t="str">
        <f t="shared" si="23"/>
        <v>Rent: 1</v>
      </c>
      <c r="D188" s="120" t="str">
        <f>MONTH(D185)+1 &amp; "/28/" &amp; YEAR(D185)</f>
        <v>12/28/2022</v>
      </c>
      <c r="E188" s="121" t="str">
        <f>"Rent: "&amp;LOOKUP(A188-1, Months, TextMonths)&amp;" '"&amp;B188</f>
        <v>Rent: Dec '2022</v>
      </c>
      <c r="F188" s="105"/>
      <c r="G188" s="106">
        <v>1850</v>
      </c>
      <c r="H188" s="107">
        <f t="shared" si="24"/>
        <v>1850</v>
      </c>
    </row>
    <row r="189" spans="1:14" ht="12.75" customHeight="1" x14ac:dyDescent="0.2">
      <c r="A189" s="118">
        <f t="shared" si="21"/>
        <v>1</v>
      </c>
      <c r="B189" s="102">
        <f t="shared" si="22"/>
        <v>2023</v>
      </c>
      <c r="C189" s="102" t="str">
        <f t="shared" si="23"/>
        <v>Income: 1</v>
      </c>
      <c r="D189" s="103">
        <v>44929</v>
      </c>
      <c r="E189" s="104" t="s">
        <v>51</v>
      </c>
      <c r="F189" s="105">
        <v>1850</v>
      </c>
      <c r="G189" s="105"/>
      <c r="H189" s="107">
        <f t="shared" si="24"/>
        <v>0</v>
      </c>
    </row>
    <row r="190" spans="1:14" ht="12.75" customHeight="1" x14ac:dyDescent="0.2">
      <c r="A190" s="118">
        <f t="shared" ref="A190:A205" si="25">MONTH(D190)</f>
        <v>1</v>
      </c>
      <c r="B190" s="102">
        <f t="shared" ref="B190:B205" si="26">YEAR(D190)</f>
        <v>2023</v>
      </c>
      <c r="C190" s="102" t="str">
        <f t="shared" ref="C190:C205" si="27">IFERROR("Rent: "&amp;FIND("Rent",E190),IFERROR("Priv Tax: "&amp;FIND("Tax",E190), IFERROR("Income: "&amp;FIND("Payment",E190,1),"")))</f>
        <v/>
      </c>
      <c r="D190" s="103">
        <v>44929</v>
      </c>
      <c r="E190" s="104" t="s">
        <v>52</v>
      </c>
      <c r="F190" s="105"/>
      <c r="G190" s="105">
        <v>55</v>
      </c>
      <c r="H190" s="107">
        <f t="shared" si="24"/>
        <v>55</v>
      </c>
    </row>
    <row r="191" spans="1:14" ht="12.75" customHeight="1" x14ac:dyDescent="0.2">
      <c r="A191" s="209">
        <f t="shared" si="25"/>
        <v>1</v>
      </c>
      <c r="B191" s="199">
        <f t="shared" si="26"/>
        <v>2023</v>
      </c>
      <c r="C191" s="199" t="str">
        <f t="shared" si="27"/>
        <v>Rent: 1</v>
      </c>
      <c r="D191" s="203" t="str">
        <f>"1/28/" &amp; YEAR(D189)</f>
        <v>1/28/2023</v>
      </c>
      <c r="E191" s="204" t="str">
        <f>"Rent: "&amp;LOOKUP(A191-1, Months, TextMonths)&amp;" '"&amp;B191</f>
        <v>Rent: Jan '2023</v>
      </c>
      <c r="F191" s="210"/>
      <c r="G191" s="211">
        <v>1850</v>
      </c>
      <c r="H191" s="208">
        <f t="shared" si="24"/>
        <v>1905</v>
      </c>
    </row>
    <row r="192" spans="1:14" ht="12.75" customHeight="1" x14ac:dyDescent="0.2">
      <c r="A192" s="209">
        <f t="shared" si="25"/>
        <v>2</v>
      </c>
      <c r="B192" s="199">
        <f t="shared" si="26"/>
        <v>2023</v>
      </c>
      <c r="C192" s="199" t="str">
        <f t="shared" si="27"/>
        <v>Income: 1</v>
      </c>
      <c r="D192" s="228">
        <v>44959</v>
      </c>
      <c r="E192" s="229" t="s">
        <v>51</v>
      </c>
      <c r="F192" s="210">
        <v>1850</v>
      </c>
      <c r="G192" s="210"/>
      <c r="H192" s="208">
        <f t="shared" si="24"/>
        <v>55</v>
      </c>
    </row>
    <row r="193" spans="1:8" ht="12.75" customHeight="1" x14ac:dyDescent="0.2">
      <c r="A193" s="209">
        <f t="shared" si="25"/>
        <v>2</v>
      </c>
      <c r="B193" s="199">
        <f t="shared" si="26"/>
        <v>2023</v>
      </c>
      <c r="C193" s="199" t="str">
        <f t="shared" si="27"/>
        <v>Rent: 1</v>
      </c>
      <c r="D193" s="203" t="str">
        <f>MONTH(D190)+1 &amp; "/28/" &amp; YEAR(D190)</f>
        <v>2/28/2023</v>
      </c>
      <c r="E193" s="204" t="str">
        <f>"Rent: "&amp;LOOKUP(A193-1, Months, TextMonths)&amp;" '"&amp;B193</f>
        <v>Rent: Feb '2023</v>
      </c>
      <c r="F193" s="210"/>
      <c r="G193" s="211">
        <v>1850</v>
      </c>
      <c r="H193" s="208">
        <f t="shared" si="24"/>
        <v>1905</v>
      </c>
    </row>
    <row r="194" spans="1:8" ht="12.75" customHeight="1" thickBot="1" x14ac:dyDescent="0.25">
      <c r="A194" s="209">
        <f t="shared" si="25"/>
        <v>3</v>
      </c>
      <c r="B194" s="199">
        <f t="shared" si="26"/>
        <v>2023</v>
      </c>
      <c r="C194" s="199" t="str">
        <f t="shared" si="27"/>
        <v>Income: 1</v>
      </c>
      <c r="D194" s="228">
        <v>44988</v>
      </c>
      <c r="E194" s="229" t="s">
        <v>51</v>
      </c>
      <c r="F194" s="210">
        <v>1850</v>
      </c>
      <c r="G194" s="210"/>
      <c r="H194" s="208">
        <f t="shared" si="24"/>
        <v>55</v>
      </c>
    </row>
    <row r="195" spans="1:8" ht="12.75" customHeight="1" x14ac:dyDescent="0.2">
      <c r="A195" s="80">
        <f t="shared" si="25"/>
        <v>4</v>
      </c>
      <c r="B195" s="42">
        <f t="shared" si="26"/>
        <v>2023</v>
      </c>
      <c r="C195" s="42" t="str">
        <f t="shared" si="27"/>
        <v>Income: 1</v>
      </c>
      <c r="D195" s="252">
        <v>45019</v>
      </c>
      <c r="E195" s="253" t="s">
        <v>51</v>
      </c>
      <c r="F195" s="147">
        <v>1850</v>
      </c>
      <c r="G195" s="147"/>
      <c r="H195" s="74">
        <f t="shared" si="24"/>
        <v>-1795</v>
      </c>
    </row>
    <row r="196" spans="1:8" ht="12.75" customHeight="1" x14ac:dyDescent="0.2">
      <c r="A196" s="81">
        <f t="shared" si="25"/>
        <v>4</v>
      </c>
      <c r="B196" s="102">
        <f t="shared" si="26"/>
        <v>2023</v>
      </c>
      <c r="C196" s="102" t="str">
        <f t="shared" si="27"/>
        <v>Rent: 1</v>
      </c>
      <c r="D196" s="120" t="str">
        <f>MONTH(D194)+1 &amp; "/28/" &amp; YEAR(D194)</f>
        <v>4/28/2023</v>
      </c>
      <c r="E196" s="121" t="str">
        <f>"Rent: "&amp;LOOKUP(A196-1, Months, TextMonths)&amp;" '"&amp;B196</f>
        <v>Rent: Apr '2023</v>
      </c>
      <c r="F196" s="36"/>
      <c r="G196" s="106">
        <v>1850</v>
      </c>
      <c r="H196" s="107">
        <f t="shared" si="24"/>
        <v>55</v>
      </c>
    </row>
    <row r="197" spans="1:8" ht="12.75" customHeight="1" x14ac:dyDescent="0.2">
      <c r="A197" s="81">
        <f t="shared" si="25"/>
        <v>5</v>
      </c>
      <c r="B197" s="102">
        <f t="shared" si="26"/>
        <v>2023</v>
      </c>
      <c r="C197" s="102" t="str">
        <f t="shared" si="27"/>
        <v>Income: 1</v>
      </c>
      <c r="D197" s="28">
        <v>45048</v>
      </c>
      <c r="E197" s="29" t="s">
        <v>51</v>
      </c>
      <c r="F197" s="36">
        <v>1850</v>
      </c>
      <c r="G197" s="36"/>
      <c r="H197" s="107">
        <f t="shared" si="24"/>
        <v>-1795</v>
      </c>
    </row>
    <row r="198" spans="1:8" ht="12.75" customHeight="1" x14ac:dyDescent="0.2">
      <c r="A198" s="81">
        <f t="shared" si="25"/>
        <v>5</v>
      </c>
      <c r="B198" s="102">
        <f t="shared" si="26"/>
        <v>2023</v>
      </c>
      <c r="C198" s="102" t="str">
        <f t="shared" si="27"/>
        <v>Rent: 1</v>
      </c>
      <c r="D198" s="120" t="str">
        <f>MONTH(D196)+1 &amp; "/28/" &amp; YEAR(D196)</f>
        <v>5/28/2023</v>
      </c>
      <c r="E198" s="121" t="str">
        <f>"Rent: "&amp;LOOKUP(A198-1, Months, TextMonths)&amp;" '"&amp;B198</f>
        <v>Rent: May '2023</v>
      </c>
      <c r="F198" s="36"/>
      <c r="G198" s="106">
        <v>1850</v>
      </c>
      <c r="H198" s="107">
        <f t="shared" si="24"/>
        <v>55</v>
      </c>
    </row>
    <row r="199" spans="1:8" ht="12.75" customHeight="1" x14ac:dyDescent="0.2">
      <c r="A199" s="81">
        <f t="shared" si="25"/>
        <v>6</v>
      </c>
      <c r="B199" s="102">
        <f t="shared" si="26"/>
        <v>2023</v>
      </c>
      <c r="C199" s="102" t="str">
        <f t="shared" si="27"/>
        <v>Income: 1</v>
      </c>
      <c r="D199" s="103">
        <v>45078</v>
      </c>
      <c r="E199" s="104" t="s">
        <v>51</v>
      </c>
      <c r="F199" s="105">
        <v>1850</v>
      </c>
      <c r="G199" s="105"/>
      <c r="H199" s="107">
        <f t="shared" si="24"/>
        <v>-1795</v>
      </c>
    </row>
    <row r="200" spans="1:8" ht="12.75" customHeight="1" x14ac:dyDescent="0.2">
      <c r="A200" s="234">
        <f t="shared" si="25"/>
        <v>6</v>
      </c>
      <c r="B200" s="235">
        <f t="shared" si="26"/>
        <v>2023</v>
      </c>
      <c r="C200" s="235" t="str">
        <f t="shared" si="27"/>
        <v>Rent: 1</v>
      </c>
      <c r="D200" s="236" t="str">
        <f>MONTH(D198)+1 &amp; "/28/" &amp; YEAR(D198)</f>
        <v>6/28/2023</v>
      </c>
      <c r="E200" s="237" t="str">
        <f>"Rent: "&amp;LOOKUP(A200-1, Months, TextMonths)&amp;" '"&amp;B200</f>
        <v>Rent: Jun '2023</v>
      </c>
      <c r="F200" s="238"/>
      <c r="G200" s="239">
        <v>1850</v>
      </c>
      <c r="H200" s="240">
        <f t="shared" si="24"/>
        <v>55</v>
      </c>
    </row>
    <row r="201" spans="1:8" ht="12.75" customHeight="1" x14ac:dyDescent="0.2">
      <c r="A201" s="241">
        <f t="shared" si="25"/>
        <v>7</v>
      </c>
      <c r="B201" s="102">
        <f t="shared" si="26"/>
        <v>2023</v>
      </c>
      <c r="C201" s="102" t="str">
        <f t="shared" si="27"/>
        <v>Income: 1</v>
      </c>
      <c r="D201" s="103">
        <v>45110</v>
      </c>
      <c r="E201" s="104" t="s">
        <v>51</v>
      </c>
      <c r="F201" s="105">
        <v>1850</v>
      </c>
      <c r="G201" s="105"/>
      <c r="H201" s="107">
        <f t="shared" si="24"/>
        <v>-1795</v>
      </c>
    </row>
    <row r="202" spans="1:8" ht="12.75" customHeight="1" x14ac:dyDescent="0.2">
      <c r="A202" s="241">
        <f t="shared" si="25"/>
        <v>7</v>
      </c>
      <c r="B202" s="102">
        <f t="shared" si="26"/>
        <v>2023</v>
      </c>
      <c r="C202" s="102" t="str">
        <f t="shared" si="27"/>
        <v>Rent: 1</v>
      </c>
      <c r="D202" s="120" t="str">
        <f>MONTH(D200)+1 &amp; "/28/" &amp; YEAR(D200)</f>
        <v>7/28/2023</v>
      </c>
      <c r="E202" s="121" t="str">
        <f>"Rent: "&amp;LOOKUP(A202-1, Months, TextMonths)&amp;" '"&amp;B202</f>
        <v>Rent: Jul '2023</v>
      </c>
      <c r="F202" s="105"/>
      <c r="G202" s="106">
        <v>1850</v>
      </c>
      <c r="H202" s="107">
        <f t="shared" si="24"/>
        <v>55</v>
      </c>
    </row>
    <row r="203" spans="1:8" ht="12.75" customHeight="1" x14ac:dyDescent="0.2">
      <c r="A203" s="241">
        <f t="shared" si="25"/>
        <v>8</v>
      </c>
      <c r="B203" s="102">
        <f t="shared" si="26"/>
        <v>2023</v>
      </c>
      <c r="C203" s="102" t="str">
        <f t="shared" si="27"/>
        <v>Income: 1</v>
      </c>
      <c r="D203" s="103">
        <v>45139</v>
      </c>
      <c r="E203" s="104" t="s">
        <v>51</v>
      </c>
      <c r="F203" s="105">
        <v>1850</v>
      </c>
      <c r="G203" s="105"/>
      <c r="H203" s="107">
        <f t="shared" si="24"/>
        <v>-1795</v>
      </c>
    </row>
    <row r="204" spans="1:8" ht="12.75" customHeight="1" x14ac:dyDescent="0.2">
      <c r="A204" s="241">
        <f t="shared" si="25"/>
        <v>8</v>
      </c>
      <c r="B204" s="102">
        <f t="shared" si="26"/>
        <v>2023</v>
      </c>
      <c r="C204" s="102" t="str">
        <f t="shared" si="27"/>
        <v>Rent: 1</v>
      </c>
      <c r="D204" s="120" t="str">
        <f>MONTH(D202)+1 &amp; "/28/" &amp; YEAR(D202)</f>
        <v>8/28/2023</v>
      </c>
      <c r="E204" s="121" t="str">
        <f>"Rent: "&amp;LOOKUP(A204-1, Months, TextMonths)&amp;" '"&amp;B204</f>
        <v>Rent: Aug '2023</v>
      </c>
      <c r="F204" s="105"/>
      <c r="G204" s="106">
        <v>1850</v>
      </c>
      <c r="H204" s="107">
        <f t="shared" si="24"/>
        <v>55</v>
      </c>
    </row>
    <row r="205" spans="1:8" ht="12.75" customHeight="1" x14ac:dyDescent="0.2">
      <c r="A205" s="242">
        <f t="shared" si="25"/>
        <v>9</v>
      </c>
      <c r="B205" s="243">
        <f t="shared" si="26"/>
        <v>2023</v>
      </c>
      <c r="C205" s="243" t="str">
        <f t="shared" si="27"/>
        <v>Income: 1</v>
      </c>
      <c r="D205" s="250">
        <v>45174</v>
      </c>
      <c r="E205" s="251" t="s">
        <v>51</v>
      </c>
      <c r="F205" s="246">
        <v>1850</v>
      </c>
      <c r="G205" s="246"/>
      <c r="H205" s="247">
        <f t="shared" si="24"/>
        <v>-1795</v>
      </c>
    </row>
    <row r="206" spans="1:8" ht="12.75" customHeight="1" x14ac:dyDescent="0.2">
      <c r="A206" s="241">
        <f t="shared" ref="A206:A207" si="28">MONTH(D206)</f>
        <v>9</v>
      </c>
      <c r="B206" s="102">
        <f t="shared" ref="B206:B207" si="29">YEAR(D206)</f>
        <v>2023</v>
      </c>
      <c r="C206" s="102" t="str">
        <f t="shared" ref="C206:C207" si="30">IFERROR("Rent: "&amp;FIND("Rent",E206),IFERROR("Priv Tax: "&amp;FIND("Tax",E206), IFERROR("Income: "&amp;FIND("Payment",E206,1),"")))</f>
        <v>Rent: 1</v>
      </c>
      <c r="D206" s="120" t="str">
        <f>MONTH(D204)+1 &amp; "/28/" &amp; YEAR(D204)</f>
        <v>9/28/2023</v>
      </c>
      <c r="E206" s="121" t="str">
        <f>"Rent: "&amp;LOOKUP(A206-1, Months, TextMonths)&amp;" '"&amp;B206</f>
        <v>Rent: Sep '2023</v>
      </c>
      <c r="F206" s="105"/>
      <c r="G206" s="106">
        <v>1850</v>
      </c>
      <c r="H206" s="107">
        <f t="shared" ref="H206:H207" si="31">H205+G206-F206</f>
        <v>55</v>
      </c>
    </row>
    <row r="207" spans="1:8" ht="12.75" customHeight="1" x14ac:dyDescent="0.2">
      <c r="A207" s="242">
        <f t="shared" si="28"/>
        <v>10</v>
      </c>
      <c r="B207" s="243">
        <f t="shared" si="29"/>
        <v>2023</v>
      </c>
      <c r="C207" s="243" t="str">
        <f t="shared" si="30"/>
        <v>Income: 1</v>
      </c>
      <c r="D207" s="250">
        <v>45204</v>
      </c>
      <c r="E207" s="251" t="s">
        <v>51</v>
      </c>
      <c r="F207" s="246">
        <v>1850</v>
      </c>
      <c r="G207" s="246"/>
      <c r="H207" s="247">
        <f t="shared" si="31"/>
        <v>-1795</v>
      </c>
    </row>
    <row r="208" spans="1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0"/>
  <sheetViews>
    <sheetView workbookViewId="0">
      <pane xSplit="2" ySplit="4" topLeftCell="G5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B5" sqref="B5"/>
    </sheetView>
  </sheetViews>
  <sheetFormatPr defaultColWidth="12.5703125" defaultRowHeight="15" customHeight="1" x14ac:dyDescent="0.2"/>
  <cols>
    <col min="1" max="1" width="14.85546875" customWidth="1"/>
    <col min="2" max="3" width="8.5703125" customWidth="1"/>
    <col min="4" max="4" width="10.140625" customWidth="1"/>
    <col min="5" max="5" width="36.28515625" customWidth="1"/>
    <col min="6" max="6" width="13.42578125" customWidth="1"/>
    <col min="7" max="8" width="14.7109375" customWidth="1"/>
    <col min="9" max="9" width="16.85546875" customWidth="1"/>
    <col min="10" max="10" width="11.7109375" customWidth="1"/>
    <col min="11" max="11" width="8.5703125" customWidth="1"/>
    <col min="12" max="12" width="18.7109375" customWidth="1"/>
    <col min="13" max="26" width="8.5703125" customWidth="1"/>
  </cols>
  <sheetData>
    <row r="1" spans="1:18" ht="12.75" customHeight="1" x14ac:dyDescent="0.2">
      <c r="C1" t="s">
        <v>127</v>
      </c>
      <c r="D1" s="163" t="s">
        <v>151</v>
      </c>
      <c r="E1" s="104"/>
      <c r="F1" s="104" t="s">
        <v>175</v>
      </c>
      <c r="G1" s="150" t="s">
        <v>123</v>
      </c>
      <c r="H1" s="34" t="s">
        <v>52</v>
      </c>
      <c r="I1" s="147"/>
      <c r="J1" s="122"/>
    </row>
    <row r="2" spans="1:18" ht="12.75" customHeight="1" x14ac:dyDescent="0.2">
      <c r="D2" t="s">
        <v>148</v>
      </c>
      <c r="E2" s="104"/>
      <c r="F2" s="36">
        <v>1825</v>
      </c>
      <c r="G2" s="151">
        <v>5</v>
      </c>
      <c r="H2" s="105">
        <v>25</v>
      </c>
      <c r="I2" s="155" t="s">
        <v>41</v>
      </c>
      <c r="J2" s="104"/>
    </row>
    <row r="3" spans="1:18" ht="12.75" customHeight="1" x14ac:dyDescent="0.25">
      <c r="A3" s="30">
        <f>COUNTIF(A6:A65477, "&lt;&gt;")+1</f>
        <v>117</v>
      </c>
      <c r="D3" s="35">
        <f t="array" ref="D3">INDEX(D6:D65476, A3)</f>
        <v>45210</v>
      </c>
      <c r="E3" s="122"/>
      <c r="F3" s="105"/>
      <c r="G3" s="149" t="s">
        <v>40</v>
      </c>
      <c r="H3" s="152">
        <f t="array" ref="H3">INDEX(H6:H65476, A3)</f>
        <v>0</v>
      </c>
      <c r="I3" s="154">
        <v>45300</v>
      </c>
      <c r="J3" s="105"/>
    </row>
    <row r="4" spans="1:18" ht="12.75" customHeight="1" x14ac:dyDescent="0.2">
      <c r="A4" s="37" t="s">
        <v>43</v>
      </c>
      <c r="B4" s="37" t="s">
        <v>10</v>
      </c>
      <c r="C4" s="37" t="s">
        <v>59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2">
      <c r="A5" s="98" t="s">
        <v>188</v>
      </c>
      <c r="B5" s="165" t="s">
        <v>194</v>
      </c>
      <c r="C5" s="98"/>
      <c r="D5" s="98"/>
      <c r="E5" s="98"/>
      <c r="F5" s="98"/>
      <c r="G5" s="98"/>
      <c r="H5" s="98"/>
    </row>
    <row r="6" spans="1:18" ht="12.75" customHeight="1" x14ac:dyDescent="0.2">
      <c r="A6" s="161" t="s">
        <v>178</v>
      </c>
      <c r="B6" s="51" t="s">
        <v>91</v>
      </c>
      <c r="D6" s="97"/>
      <c r="F6" s="98"/>
      <c r="G6" s="98"/>
      <c r="H6" s="98"/>
      <c r="I6" s="122"/>
      <c r="J6" s="122"/>
      <c r="K6" s="122"/>
      <c r="L6" s="122"/>
      <c r="M6" s="122"/>
    </row>
    <row r="7" spans="1:18" ht="12.75" customHeight="1" x14ac:dyDescent="0.2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2"/>
      <c r="J7" s="122"/>
      <c r="K7" s="122"/>
      <c r="L7" s="122"/>
      <c r="M7" s="122"/>
      <c r="N7" s="30"/>
      <c r="P7" s="30"/>
      <c r="R7" s="30"/>
    </row>
    <row r="8" spans="1:18" ht="12.75" customHeight="1" x14ac:dyDescent="0.25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89</v>
      </c>
      <c r="F8" s="36"/>
      <c r="G8" s="36">
        <v>1350</v>
      </c>
      <c r="H8" s="58">
        <f t="shared" si="3"/>
        <v>2700</v>
      </c>
      <c r="I8" s="122"/>
      <c r="J8" s="122"/>
      <c r="K8" s="122"/>
      <c r="L8" s="122"/>
      <c r="M8" s="122"/>
      <c r="N8" s="30"/>
      <c r="O8" s="30"/>
      <c r="P8" s="31"/>
      <c r="R8" s="31"/>
    </row>
    <row r="9" spans="1:18" ht="12.75" customHeight="1" x14ac:dyDescent="0.2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90</v>
      </c>
      <c r="F9" s="36"/>
      <c r="G9" s="36">
        <v>200</v>
      </c>
      <c r="H9" s="58">
        <f t="shared" si="3"/>
        <v>2900</v>
      </c>
      <c r="I9" s="122"/>
      <c r="J9" s="122"/>
      <c r="K9" s="122"/>
      <c r="L9" s="159"/>
      <c r="M9" s="122"/>
      <c r="N9" s="30"/>
      <c r="O9" s="30"/>
      <c r="P9" s="31"/>
      <c r="R9" s="31"/>
    </row>
    <row r="10" spans="1:18" ht="12.75" customHeight="1" x14ac:dyDescent="0.25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2"/>
      <c r="J10" s="122"/>
      <c r="K10" s="122"/>
      <c r="L10" s="122"/>
      <c r="M10" s="122"/>
      <c r="Q10" s="30"/>
      <c r="R10" s="31"/>
    </row>
    <row r="11" spans="1:18" ht="12.75" customHeight="1" x14ac:dyDescent="0.25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9"/>
      <c r="J11" s="122"/>
      <c r="K11" s="105"/>
      <c r="L11" s="105"/>
      <c r="M11" s="122"/>
      <c r="Q11" s="30"/>
      <c r="R11" s="31"/>
    </row>
    <row r="12" spans="1:18" ht="12.75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2"/>
      <c r="J12" s="122"/>
      <c r="K12" s="122"/>
      <c r="L12" s="104"/>
      <c r="M12" s="122"/>
      <c r="Q12" s="30"/>
      <c r="R12" s="31"/>
    </row>
    <row r="13" spans="1:18" ht="12.75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2"/>
      <c r="J13" s="122"/>
      <c r="K13" s="122"/>
      <c r="L13" s="122"/>
      <c r="M13" s="122"/>
    </row>
    <row r="14" spans="1:18" ht="12.75" customHeight="1" x14ac:dyDescent="0.2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2"/>
      <c r="J14" s="122"/>
      <c r="K14" s="122"/>
      <c r="L14" s="104"/>
      <c r="M14" s="122"/>
    </row>
    <row r="15" spans="1:18" ht="12.75" customHeight="1" x14ac:dyDescent="0.25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2"/>
      <c r="J15" s="122"/>
      <c r="K15" s="122"/>
      <c r="L15" s="122"/>
      <c r="M15" s="122"/>
    </row>
    <row r="16" spans="1:18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2"/>
      <c r="J16" s="122"/>
      <c r="K16" s="122"/>
      <c r="L16" s="122"/>
      <c r="M16" s="122"/>
    </row>
    <row r="17" spans="1:13" ht="12.75" customHeight="1" x14ac:dyDescent="0.25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2"/>
      <c r="J17" s="122"/>
      <c r="K17" s="122"/>
      <c r="L17" s="104"/>
      <c r="M17" s="122"/>
    </row>
    <row r="18" spans="1:13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2"/>
      <c r="J18" s="122"/>
      <c r="K18" s="122"/>
      <c r="L18" s="122"/>
      <c r="M18" s="122"/>
    </row>
    <row r="19" spans="1:13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2"/>
      <c r="J19" s="122"/>
      <c r="K19" s="122"/>
      <c r="L19" s="104"/>
      <c r="M19" s="122"/>
    </row>
    <row r="20" spans="1:13" ht="12.75" customHeight="1" x14ac:dyDescent="0.2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9"/>
      <c r="J20" s="122"/>
      <c r="K20" s="122"/>
      <c r="L20" s="122"/>
      <c r="M20" s="122"/>
    </row>
    <row r="21" spans="1:13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2"/>
      <c r="J21" s="122"/>
      <c r="K21" s="122"/>
      <c r="L21" s="104"/>
      <c r="M21" s="122"/>
    </row>
    <row r="22" spans="1:13" ht="12.75" customHeight="1" x14ac:dyDescent="0.2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2"/>
      <c r="J22" s="122"/>
      <c r="K22" s="122"/>
      <c r="L22" s="122"/>
      <c r="M22" s="122"/>
    </row>
    <row r="23" spans="1:13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4"/>
      <c r="J23" s="159"/>
      <c r="K23" s="122"/>
      <c r="L23" s="104"/>
      <c r="M23" s="122"/>
    </row>
    <row r="24" spans="1:13" ht="12.75" customHeight="1" x14ac:dyDescent="0.2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8"/>
      <c r="J24" s="148"/>
      <c r="K24" s="159"/>
      <c r="L24" s="122"/>
      <c r="M24" s="122"/>
    </row>
    <row r="25" spans="1:13" ht="12.75" customHeight="1" x14ac:dyDescent="0.25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2"/>
      <c r="J25" s="122"/>
      <c r="K25" s="122"/>
      <c r="L25" s="104"/>
      <c r="M25" s="122"/>
    </row>
    <row r="26" spans="1:13" ht="12.75" customHeight="1" x14ac:dyDescent="0.2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2"/>
      <c r="J26" s="122"/>
      <c r="K26" s="122"/>
      <c r="L26" s="122"/>
      <c r="M26" s="122"/>
    </row>
    <row r="27" spans="1:13" ht="12.75" customHeight="1" x14ac:dyDescent="0.25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2"/>
      <c r="J27" s="122"/>
      <c r="K27" s="122"/>
      <c r="L27" s="104"/>
      <c r="M27" s="122"/>
    </row>
    <row r="28" spans="1:13" ht="12.75" customHeight="1" x14ac:dyDescent="0.25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2"/>
      <c r="J28" s="122"/>
      <c r="K28" s="122"/>
      <c r="L28" s="122"/>
      <c r="M28" s="122"/>
    </row>
    <row r="29" spans="1:13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2"/>
      <c r="J29" s="122"/>
      <c r="K29" s="122"/>
      <c r="L29" s="104"/>
      <c r="M29" s="122"/>
    </row>
    <row r="30" spans="1:13" ht="12.75" customHeight="1" x14ac:dyDescent="0.2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1350</v>
      </c>
      <c r="H30" s="38">
        <f t="shared" si="3"/>
        <v>1350</v>
      </c>
      <c r="I30" s="122"/>
      <c r="J30" s="122"/>
      <c r="K30" s="122"/>
      <c r="L30" s="122"/>
      <c r="M30" s="122"/>
    </row>
    <row r="31" spans="1:13" ht="14.25" customHeight="1" x14ac:dyDescent="0.2">
      <c r="A31" s="37"/>
      <c r="B31" s="37"/>
      <c r="C31" s="37"/>
      <c r="D31" s="28"/>
      <c r="E31" s="39" t="s">
        <v>92</v>
      </c>
      <c r="F31" s="36"/>
      <c r="G31" s="36"/>
      <c r="H31" s="38"/>
      <c r="I31" s="122"/>
      <c r="J31" s="122"/>
      <c r="K31" s="122"/>
      <c r="L31" s="122"/>
      <c r="M31" s="122"/>
    </row>
    <row r="32" spans="1:13" ht="14.25" customHeight="1" x14ac:dyDescent="0.2">
      <c r="A32" s="164" t="s">
        <v>186</v>
      </c>
      <c r="B32" s="146"/>
      <c r="C32" s="146"/>
      <c r="D32" s="165" t="s">
        <v>187</v>
      </c>
      <c r="E32" s="146"/>
      <c r="F32" s="158"/>
      <c r="G32" s="158"/>
      <c r="H32" s="158"/>
      <c r="I32" s="122"/>
      <c r="J32" s="122"/>
      <c r="K32" s="122"/>
      <c r="L32" s="122"/>
      <c r="M32" s="122"/>
    </row>
    <row r="33" spans="1:13" ht="12.75" customHeight="1" x14ac:dyDescent="0.25">
      <c r="A33" s="37">
        <f t="shared" ref="A33:A84" si="4">MONTH(D33)</f>
        <v>1</v>
      </c>
      <c r="B33" s="37">
        <f t="shared" ref="B33:B84" si="5">YEAR(D33)</f>
        <v>2021</v>
      </c>
      <c r="C33" s="37" t="str">
        <f t="shared" ref="C33:C37" si="6">IFERROR("Rent: "&amp;FIND("Rent",E33),IFERROR("Priv Tax: "&amp;FIND("Tax",E33), IFERROR("Income: "&amp;FIND("Payment",E33,1),"")))</f>
        <v/>
      </c>
      <c r="D33" s="28">
        <v>44205</v>
      </c>
      <c r="E33" s="1" t="s">
        <v>89</v>
      </c>
      <c r="F33" s="36"/>
      <c r="G33" s="36">
        <v>1600</v>
      </c>
      <c r="H33" s="58">
        <f t="shared" ref="H33:H84" si="7">H32+G33-F33</f>
        <v>1600</v>
      </c>
      <c r="I33" s="122"/>
      <c r="J33" s="122"/>
      <c r="K33" s="122"/>
      <c r="L33" s="122"/>
      <c r="M33" s="122"/>
    </row>
    <row r="34" spans="1:13" ht="14.25" customHeight="1" x14ac:dyDescent="0.2">
      <c r="A34" s="37">
        <f t="shared" si="4"/>
        <v>1</v>
      </c>
      <c r="B34" s="37">
        <f t="shared" si="5"/>
        <v>2021</v>
      </c>
      <c r="C34" s="37" t="str">
        <f t="shared" si="6"/>
        <v/>
      </c>
      <c r="D34" s="28">
        <v>44205</v>
      </c>
      <c r="E34" s="29" t="s">
        <v>90</v>
      </c>
      <c r="F34" s="36"/>
      <c r="G34" s="36">
        <v>200</v>
      </c>
      <c r="H34" s="58">
        <f t="shared" si="7"/>
        <v>1800</v>
      </c>
      <c r="I34" s="122"/>
      <c r="J34" s="122"/>
      <c r="K34" s="122"/>
      <c r="L34" s="122"/>
      <c r="M34" s="122"/>
    </row>
    <row r="35" spans="1:13" ht="12.75" customHeight="1" x14ac:dyDescent="0.2">
      <c r="A35" s="37">
        <f t="shared" si="4"/>
        <v>1</v>
      </c>
      <c r="B35" s="37">
        <f t="shared" si="5"/>
        <v>2021</v>
      </c>
      <c r="C35" s="37" t="str">
        <f t="shared" si="6"/>
        <v>Rent: 1</v>
      </c>
      <c r="D35" s="40">
        <v>44206</v>
      </c>
      <c r="E35" s="39" t="str">
        <f>"Rent: "&amp;LOOKUP(A35-1, Months, TextMonths)&amp;" '"&amp;B35</f>
        <v>Rent: Jan '2021</v>
      </c>
      <c r="F35" s="36"/>
      <c r="G35" s="36">
        <v>1600</v>
      </c>
      <c r="H35" s="38">
        <f t="shared" si="7"/>
        <v>3400</v>
      </c>
      <c r="I35" s="122"/>
      <c r="J35" s="122"/>
      <c r="K35" s="122"/>
      <c r="L35" s="122"/>
      <c r="M35" s="122"/>
    </row>
    <row r="36" spans="1:13" ht="14.25" customHeight="1" x14ac:dyDescent="0.2">
      <c r="A36" s="37">
        <f t="shared" si="4"/>
        <v>1</v>
      </c>
      <c r="B36" s="37">
        <f t="shared" si="5"/>
        <v>2021</v>
      </c>
      <c r="C36" s="37" t="str">
        <f t="shared" si="6"/>
        <v>Income: 1</v>
      </c>
      <c r="D36" s="28">
        <v>44205</v>
      </c>
      <c r="E36" s="29" t="s">
        <v>51</v>
      </c>
      <c r="F36" s="36">
        <v>3400</v>
      </c>
      <c r="G36" s="36"/>
      <c r="H36" s="58">
        <f t="shared" si="7"/>
        <v>0</v>
      </c>
      <c r="I36" s="122"/>
      <c r="J36" s="122"/>
      <c r="K36" s="122"/>
      <c r="L36" s="122"/>
      <c r="M36" s="122"/>
    </row>
    <row r="37" spans="1:13" ht="12.75" customHeight="1" x14ac:dyDescent="0.2">
      <c r="A37" s="37">
        <f t="shared" si="4"/>
        <v>1</v>
      </c>
      <c r="B37" s="37">
        <f t="shared" si="5"/>
        <v>2021</v>
      </c>
      <c r="C37" s="37" t="str">
        <f t="shared" si="6"/>
        <v/>
      </c>
      <c r="D37" s="28">
        <v>44205</v>
      </c>
      <c r="E37" s="29" t="s">
        <v>93</v>
      </c>
      <c r="F37" s="36"/>
      <c r="G37" s="36">
        <v>500</v>
      </c>
      <c r="H37" s="58">
        <f t="shared" si="7"/>
        <v>500</v>
      </c>
      <c r="I37" s="104"/>
      <c r="J37" s="122"/>
      <c r="K37" s="122"/>
      <c r="L37" s="122"/>
      <c r="M37" s="122"/>
    </row>
    <row r="38" spans="1:13" ht="12.75" customHeight="1" x14ac:dyDescent="0.2">
      <c r="A38" s="37">
        <f t="shared" si="4"/>
        <v>2</v>
      </c>
      <c r="B38" s="37">
        <f t="shared" si="5"/>
        <v>2021</v>
      </c>
      <c r="C38" s="37"/>
      <c r="D38" s="40" t="str">
        <f>MOD(MONTH(D37), 12)+1 &amp; "/10/" &amp; YEAR(D37)</f>
        <v>2/10/2021</v>
      </c>
      <c r="E38" s="39" t="str">
        <f>"Rent: "&amp;LOOKUP(A38-1, Months, TextMonths)&amp;" '"&amp;B38</f>
        <v>Rent: Feb '2021</v>
      </c>
      <c r="F38" s="36"/>
      <c r="G38" s="36">
        <v>1550</v>
      </c>
      <c r="H38" s="58">
        <f t="shared" si="7"/>
        <v>2050</v>
      </c>
      <c r="I38" s="122"/>
      <c r="J38" s="122"/>
      <c r="K38" s="122"/>
      <c r="L38" s="122"/>
      <c r="M38" s="122"/>
    </row>
    <row r="39" spans="1:13" ht="14.25" customHeight="1" x14ac:dyDescent="0.2">
      <c r="A39" s="37">
        <f t="shared" si="4"/>
        <v>2</v>
      </c>
      <c r="B39" s="37">
        <f t="shared" si="5"/>
        <v>2021</v>
      </c>
      <c r="C39" s="37" t="str">
        <f t="shared" ref="C39:C40" si="8">IFERROR("Rent: "&amp;FIND("Rent",E39),IFERROR("Priv Tax: "&amp;FIND("Tax",E39), IFERROR("Income: "&amp;FIND("Payment",E39,1),"")))</f>
        <v/>
      </c>
      <c r="D39" s="28">
        <v>44237</v>
      </c>
      <c r="E39" s="29" t="s">
        <v>94</v>
      </c>
      <c r="F39" s="36">
        <v>50</v>
      </c>
      <c r="G39" s="36"/>
      <c r="H39" s="58">
        <f t="shared" si="7"/>
        <v>2000</v>
      </c>
      <c r="I39" s="122"/>
      <c r="J39" s="122"/>
      <c r="K39" s="122"/>
      <c r="L39" s="122"/>
      <c r="M39" s="122"/>
    </row>
    <row r="40" spans="1:13" ht="12.75" customHeight="1" x14ac:dyDescent="0.2">
      <c r="A40" s="37">
        <f t="shared" si="4"/>
        <v>1</v>
      </c>
      <c r="B40" s="37">
        <f t="shared" si="5"/>
        <v>2021</v>
      </c>
      <c r="C40" s="37" t="str">
        <f t="shared" si="8"/>
        <v>Income: 1</v>
      </c>
      <c r="D40" s="28">
        <v>44205</v>
      </c>
      <c r="E40" s="29" t="s">
        <v>51</v>
      </c>
      <c r="F40" s="36">
        <v>1500</v>
      </c>
      <c r="G40" s="36"/>
      <c r="H40" s="58">
        <f t="shared" si="7"/>
        <v>500</v>
      </c>
      <c r="I40" s="122"/>
      <c r="J40" s="122"/>
      <c r="K40" s="122"/>
      <c r="L40" s="122"/>
      <c r="M40" s="122"/>
    </row>
    <row r="41" spans="1:13" ht="12.75" customHeight="1" x14ac:dyDescent="0.2">
      <c r="A41" s="37">
        <f t="shared" si="4"/>
        <v>2</v>
      </c>
      <c r="B41" s="37">
        <f t="shared" si="5"/>
        <v>2021</v>
      </c>
      <c r="C41" s="37"/>
      <c r="D41" s="40" t="str">
        <f>MOD(MONTH(D40), 12)+1 &amp; "/10/" &amp; YEAR(D40)</f>
        <v>2/10/2021</v>
      </c>
      <c r="E41" s="39" t="str">
        <f>"Rent: "&amp;LOOKUP(A41-1, Months, TextMonths)&amp;" '"&amp;B41</f>
        <v>Rent: Feb '2021</v>
      </c>
      <c r="F41" s="36"/>
      <c r="G41" s="36">
        <v>1550</v>
      </c>
      <c r="H41" s="58">
        <f t="shared" si="7"/>
        <v>2050</v>
      </c>
      <c r="I41" s="122"/>
      <c r="J41" s="122"/>
      <c r="K41" s="122"/>
      <c r="L41" s="122"/>
      <c r="M41" s="122"/>
    </row>
    <row r="42" spans="1:13" ht="12.75" customHeight="1" x14ac:dyDescent="0.2">
      <c r="A42" s="37">
        <f t="shared" si="4"/>
        <v>2</v>
      </c>
      <c r="B42" s="37">
        <f t="shared" si="5"/>
        <v>2021</v>
      </c>
      <c r="C42" s="37" t="str">
        <f>IFERROR("Rent: "&amp;FIND("Rent",E42),IFERROR("Priv Tax: "&amp;FIND("Tax",E42), IFERROR("Income: "&amp;FIND("Payment",E42,1),"")))</f>
        <v>Income: 1</v>
      </c>
      <c r="D42" s="28">
        <v>44238</v>
      </c>
      <c r="E42" s="29" t="s">
        <v>51</v>
      </c>
      <c r="F42" s="36">
        <v>1550</v>
      </c>
      <c r="G42" s="36"/>
      <c r="H42" s="58">
        <f t="shared" si="7"/>
        <v>500</v>
      </c>
      <c r="I42" s="104"/>
      <c r="J42" s="122"/>
      <c r="K42" s="122"/>
      <c r="L42" s="122"/>
      <c r="M42" s="122"/>
    </row>
    <row r="43" spans="1:13" ht="12.75" customHeight="1" x14ac:dyDescent="0.2">
      <c r="A43" s="37">
        <f t="shared" si="4"/>
        <v>4</v>
      </c>
      <c r="B43" s="37">
        <f t="shared" si="5"/>
        <v>2021</v>
      </c>
      <c r="C43" s="37"/>
      <c r="D43" s="40" t="str">
        <f>MOD(MONTH(D42), 12)+2 &amp; "/10/" &amp; YEAR(D42)</f>
        <v>4/10/2021</v>
      </c>
      <c r="E43" s="39" t="str">
        <f>"Rent: "&amp;LOOKUP(A43-1, Months, TextMonths)&amp;" '"&amp;B43</f>
        <v>Rent: Apr '2021</v>
      </c>
      <c r="F43" s="36"/>
      <c r="G43" s="36">
        <v>1550</v>
      </c>
      <c r="H43" s="58">
        <f t="shared" si="7"/>
        <v>2050</v>
      </c>
      <c r="I43" s="104"/>
      <c r="J43" s="122"/>
      <c r="K43" s="122"/>
      <c r="L43" s="122"/>
      <c r="M43" s="122"/>
    </row>
    <row r="44" spans="1:13" ht="12.75" customHeight="1" x14ac:dyDescent="0.2">
      <c r="A44" s="37">
        <f t="shared" si="4"/>
        <v>3</v>
      </c>
      <c r="B44" s="37">
        <f t="shared" si="5"/>
        <v>2021</v>
      </c>
      <c r="C44" s="37" t="str">
        <f>IFERROR("Rent: "&amp;FIND("Rent",E44),IFERROR("Priv Tax: "&amp;FIND("Tax",E44), IFERROR("Income: "&amp;FIND("Payment",E44,1),"")))</f>
        <v>Income: 1</v>
      </c>
      <c r="D44" s="28">
        <v>44267</v>
      </c>
      <c r="E44" s="29" t="s">
        <v>51</v>
      </c>
      <c r="F44" s="36">
        <v>1550</v>
      </c>
      <c r="G44" s="36"/>
      <c r="H44" s="58">
        <f t="shared" si="7"/>
        <v>500</v>
      </c>
      <c r="I44" s="104"/>
      <c r="J44" s="122"/>
      <c r="K44" s="122"/>
      <c r="L44" s="122"/>
      <c r="M44" s="122"/>
    </row>
    <row r="45" spans="1:13" ht="12.75" customHeight="1" x14ac:dyDescent="0.2">
      <c r="A45" s="37">
        <f t="shared" si="4"/>
        <v>4</v>
      </c>
      <c r="B45" s="37">
        <f t="shared" si="5"/>
        <v>2021</v>
      </c>
      <c r="C45" s="37"/>
      <c r="D45" s="40" t="str">
        <f>MOD(MONTH(D44), 12)+1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7"/>
        <v>2050</v>
      </c>
      <c r="I45" s="104"/>
      <c r="J45" s="122"/>
      <c r="K45" s="122"/>
      <c r="L45" s="122"/>
      <c r="M45" s="122"/>
    </row>
    <row r="46" spans="1:13" ht="12.75" customHeight="1" x14ac:dyDescent="0.2">
      <c r="A46" s="37">
        <f t="shared" si="4"/>
        <v>4</v>
      </c>
      <c r="B46" s="37">
        <f t="shared" si="5"/>
        <v>2021</v>
      </c>
      <c r="C46" s="37" t="str">
        <f>IFERROR("Rent: "&amp;FIND("Rent",E46),IFERROR("Priv Tax: "&amp;FIND("Tax",E46), IFERROR("Income: "&amp;FIND("Payment",E46,1),"")))</f>
        <v>Income: 1</v>
      </c>
      <c r="D46" s="28">
        <v>44298</v>
      </c>
      <c r="E46" s="29" t="s">
        <v>51</v>
      </c>
      <c r="F46" s="36">
        <v>1550</v>
      </c>
      <c r="G46" s="36"/>
      <c r="H46" s="58">
        <f t="shared" si="7"/>
        <v>500</v>
      </c>
      <c r="I46" s="122"/>
      <c r="J46" s="122"/>
      <c r="K46" s="122"/>
      <c r="L46" s="122"/>
      <c r="M46" s="122"/>
    </row>
    <row r="47" spans="1:13" ht="12.75" customHeight="1" x14ac:dyDescent="0.2">
      <c r="A47" s="37">
        <f t="shared" si="4"/>
        <v>5</v>
      </c>
      <c r="B47" s="37">
        <f t="shared" si="5"/>
        <v>2021</v>
      </c>
      <c r="C47" s="37"/>
      <c r="D47" s="40" t="str">
        <f>MOD(MONTH(D46), 12)+1 &amp; "/10/" &amp; YEAR(D46)</f>
        <v>5/10/2021</v>
      </c>
      <c r="E47" s="39" t="str">
        <f>"Rent: "&amp;LOOKUP(A47-1, Months, TextMonths)&amp;" '"&amp;B47</f>
        <v>Rent: May '2021</v>
      </c>
      <c r="F47" s="36"/>
      <c r="G47" s="36">
        <v>1550</v>
      </c>
      <c r="H47" s="58">
        <f t="shared" si="7"/>
        <v>2050</v>
      </c>
      <c r="I47" s="104"/>
      <c r="J47" s="122"/>
      <c r="K47" s="122"/>
      <c r="L47" s="122"/>
      <c r="M47" s="122"/>
    </row>
    <row r="48" spans="1:13" ht="12.75" customHeight="1" x14ac:dyDescent="0.2">
      <c r="A48" s="37">
        <f t="shared" si="4"/>
        <v>5</v>
      </c>
      <c r="B48" s="37">
        <f t="shared" si="5"/>
        <v>2021</v>
      </c>
      <c r="C48" s="37" t="str">
        <f>IFERROR("Rent: "&amp;FIND("Rent",E48),IFERROR("Priv Tax: "&amp;FIND("Tax",E48), IFERROR("Income: "&amp;FIND("Payment",E48,1),"")))</f>
        <v>Income: 1</v>
      </c>
      <c r="D48" s="28">
        <v>44330</v>
      </c>
      <c r="E48" s="29" t="s">
        <v>51</v>
      </c>
      <c r="F48" s="36">
        <v>1550</v>
      </c>
      <c r="G48" s="36"/>
      <c r="H48" s="58">
        <f t="shared" si="7"/>
        <v>500</v>
      </c>
      <c r="I48" s="122"/>
      <c r="J48" s="122"/>
      <c r="K48" s="122"/>
      <c r="L48" s="122"/>
      <c r="M48" s="122"/>
    </row>
    <row r="49" spans="1:13" ht="12.75" customHeight="1" x14ac:dyDescent="0.2">
      <c r="A49" s="37">
        <f t="shared" si="4"/>
        <v>6</v>
      </c>
      <c r="B49" s="37">
        <f t="shared" si="5"/>
        <v>2021</v>
      </c>
      <c r="C49" s="37"/>
      <c r="D49" s="40" t="str">
        <f>MOD(MONTH(D48), 12)+1 &amp; "/10/" &amp; YEAR(D48)</f>
        <v>6/10/2021</v>
      </c>
      <c r="E49" s="39" t="str">
        <f>"Rent: "&amp;LOOKUP(A49-1, Months, TextMonths)&amp;" '"&amp;B49</f>
        <v>Rent: Jun '2021</v>
      </c>
      <c r="F49" s="36"/>
      <c r="G49" s="36">
        <v>1550</v>
      </c>
      <c r="H49" s="58">
        <f t="shared" si="7"/>
        <v>2050</v>
      </c>
      <c r="I49" s="104"/>
      <c r="J49" s="122"/>
      <c r="K49" s="122"/>
      <c r="L49" s="104"/>
      <c r="M49" s="166"/>
    </row>
    <row r="50" spans="1:13" ht="12.75" customHeight="1" x14ac:dyDescent="0.2">
      <c r="A50" s="37">
        <f t="shared" si="4"/>
        <v>6</v>
      </c>
      <c r="B50" s="37">
        <f t="shared" si="5"/>
        <v>2021</v>
      </c>
      <c r="C50" s="37"/>
      <c r="D50" s="28">
        <v>44358</v>
      </c>
      <c r="E50" s="29" t="s">
        <v>51</v>
      </c>
      <c r="F50" s="36">
        <v>1550</v>
      </c>
      <c r="G50" s="36"/>
      <c r="H50" s="58">
        <f t="shared" si="7"/>
        <v>500</v>
      </c>
      <c r="I50" s="122"/>
      <c r="J50" s="122"/>
      <c r="K50" s="122"/>
      <c r="L50" s="104"/>
      <c r="M50" s="166"/>
    </row>
    <row r="51" spans="1:13" ht="12.75" customHeight="1" x14ac:dyDescent="0.2">
      <c r="A51" s="37">
        <f t="shared" si="4"/>
        <v>7</v>
      </c>
      <c r="B51" s="37">
        <f t="shared" si="5"/>
        <v>2021</v>
      </c>
      <c r="C51" s="37"/>
      <c r="D51" s="40" t="str">
        <f>MOD(MONTH(D50), 12)+1 &amp; "/10/" &amp; YEAR(D50)</f>
        <v>7/10/2021</v>
      </c>
      <c r="E51" s="39" t="str">
        <f>"Rent: "&amp;LOOKUP(A51-1, Months, TextMonths)&amp;" '"&amp;B51</f>
        <v>Rent: Jul '2021</v>
      </c>
      <c r="F51" s="36"/>
      <c r="G51" s="36">
        <v>1550</v>
      </c>
      <c r="H51" s="58">
        <f t="shared" si="7"/>
        <v>2050</v>
      </c>
      <c r="I51" s="104"/>
      <c r="J51" s="122"/>
      <c r="K51" s="122"/>
      <c r="L51" s="104"/>
      <c r="M51" s="166"/>
    </row>
    <row r="52" spans="1:13" ht="12.75" customHeight="1" x14ac:dyDescent="0.2">
      <c r="A52" s="57">
        <f t="shared" si="4"/>
        <v>7</v>
      </c>
      <c r="B52" s="57">
        <f t="shared" si="5"/>
        <v>2021</v>
      </c>
      <c r="C52" s="37"/>
      <c r="D52" s="28">
        <v>44389</v>
      </c>
      <c r="E52" s="29" t="s">
        <v>95</v>
      </c>
      <c r="F52" s="36">
        <v>139.84</v>
      </c>
      <c r="G52" s="36"/>
      <c r="H52" s="58">
        <f t="shared" si="7"/>
        <v>1910.16</v>
      </c>
      <c r="I52" s="122"/>
      <c r="J52" s="122"/>
      <c r="K52" s="122"/>
      <c r="L52" s="104"/>
      <c r="M52" s="166"/>
    </row>
    <row r="53" spans="1:13" ht="12.75" customHeight="1" x14ac:dyDescent="0.2">
      <c r="A53" s="57">
        <f t="shared" si="4"/>
        <v>7</v>
      </c>
      <c r="B53" s="57">
        <f t="shared" si="5"/>
        <v>2021</v>
      </c>
      <c r="C53" s="37"/>
      <c r="D53" s="28">
        <v>44389</v>
      </c>
      <c r="E53" s="29" t="s">
        <v>96</v>
      </c>
      <c r="F53" s="36">
        <f>4.97+5.36</f>
        <v>10.33</v>
      </c>
      <c r="G53" s="36"/>
      <c r="H53" s="58">
        <f t="shared" si="7"/>
        <v>1899.8300000000002</v>
      </c>
      <c r="I53" s="104"/>
      <c r="J53" s="122"/>
      <c r="K53" s="122"/>
      <c r="L53" s="104"/>
      <c r="M53" s="166"/>
    </row>
    <row r="54" spans="1:13" ht="12.75" customHeight="1" x14ac:dyDescent="0.2">
      <c r="A54" s="57">
        <f t="shared" si="4"/>
        <v>7</v>
      </c>
      <c r="B54" s="57">
        <f t="shared" si="5"/>
        <v>2021</v>
      </c>
      <c r="C54" s="37"/>
      <c r="D54" s="28">
        <v>44389</v>
      </c>
      <c r="E54" s="29" t="s">
        <v>97</v>
      </c>
      <c r="F54" s="36">
        <f>23.98+39.98</f>
        <v>63.959999999999994</v>
      </c>
      <c r="G54" s="36"/>
      <c r="H54" s="58">
        <f t="shared" si="7"/>
        <v>1835.8700000000001</v>
      </c>
      <c r="I54" s="122"/>
      <c r="J54" s="122"/>
      <c r="K54" s="122"/>
      <c r="L54" s="104"/>
      <c r="M54" s="166"/>
    </row>
    <row r="55" spans="1:13" ht="12.75" customHeight="1" x14ac:dyDescent="0.2">
      <c r="A55" s="57">
        <f t="shared" si="4"/>
        <v>7</v>
      </c>
      <c r="B55" s="57">
        <f t="shared" si="5"/>
        <v>2021</v>
      </c>
      <c r="C55" s="37"/>
      <c r="D55" s="28">
        <v>44389</v>
      </c>
      <c r="E55" s="29" t="s">
        <v>98</v>
      </c>
      <c r="F55" s="36">
        <f>21.58+8.97+9.48</f>
        <v>40.03</v>
      </c>
      <c r="G55" s="36"/>
      <c r="H55" s="58">
        <f t="shared" si="7"/>
        <v>1795.8400000000001</v>
      </c>
      <c r="I55" s="104"/>
      <c r="J55" s="122"/>
      <c r="K55" s="122"/>
      <c r="L55" s="104"/>
      <c r="M55" s="166"/>
    </row>
    <row r="56" spans="1:13" ht="12.75" customHeight="1" x14ac:dyDescent="0.2">
      <c r="A56" s="57">
        <f t="shared" si="4"/>
        <v>7</v>
      </c>
      <c r="B56" s="57">
        <f t="shared" si="5"/>
        <v>2021</v>
      </c>
      <c r="C56" s="37"/>
      <c r="D56" s="28">
        <v>44389</v>
      </c>
      <c r="E56" s="29" t="s">
        <v>99</v>
      </c>
      <c r="F56" s="36">
        <f>6.2+21.94+8.9+19.6</f>
        <v>56.64</v>
      </c>
      <c r="G56" s="36"/>
      <c r="H56" s="58">
        <f t="shared" si="7"/>
        <v>1739.2</v>
      </c>
      <c r="I56" s="122"/>
      <c r="J56" s="122"/>
      <c r="K56" s="122"/>
      <c r="L56" s="122"/>
      <c r="M56" s="166"/>
    </row>
    <row r="57" spans="1:13" ht="12.75" customHeight="1" x14ac:dyDescent="0.2">
      <c r="A57" s="57">
        <f t="shared" si="4"/>
        <v>7</v>
      </c>
      <c r="B57" s="57">
        <f t="shared" si="5"/>
        <v>2021</v>
      </c>
      <c r="C57" s="37"/>
      <c r="D57" s="28">
        <v>44389</v>
      </c>
      <c r="E57" s="29" t="s">
        <v>100</v>
      </c>
      <c r="F57" s="36">
        <f>2.78+2.98+2.98+4.98+39.98+23.98+33.98+6.27</f>
        <v>117.92999999999999</v>
      </c>
      <c r="G57" s="36"/>
      <c r="H57" s="58">
        <f t="shared" si="7"/>
        <v>1621.27</v>
      </c>
      <c r="I57" s="104"/>
      <c r="J57" s="122"/>
      <c r="K57" s="122"/>
      <c r="L57" s="122"/>
      <c r="M57" s="122"/>
    </row>
    <row r="58" spans="1:13" ht="12.75" customHeight="1" x14ac:dyDescent="0.2">
      <c r="A58" s="57">
        <f t="shared" si="4"/>
        <v>7</v>
      </c>
      <c r="B58" s="57">
        <f t="shared" si="5"/>
        <v>2021</v>
      </c>
      <c r="C58" s="37"/>
      <c r="D58" s="28">
        <v>44389</v>
      </c>
      <c r="E58" s="29" t="s">
        <v>101</v>
      </c>
      <c r="F58" s="36">
        <v>182.59</v>
      </c>
      <c r="G58" s="36"/>
      <c r="H58" s="58">
        <f t="shared" si="7"/>
        <v>1438.68</v>
      </c>
      <c r="I58" s="122"/>
      <c r="J58" s="122"/>
      <c r="K58" s="122"/>
      <c r="L58" s="122"/>
      <c r="M58" s="122"/>
    </row>
    <row r="59" spans="1:13" ht="12.75" customHeight="1" x14ac:dyDescent="0.2">
      <c r="A59" s="57">
        <f t="shared" si="4"/>
        <v>7</v>
      </c>
      <c r="B59" s="57">
        <f t="shared" si="5"/>
        <v>2021</v>
      </c>
      <c r="C59" s="37"/>
      <c r="D59" s="28">
        <v>44389</v>
      </c>
      <c r="E59" s="29" t="s">
        <v>102</v>
      </c>
      <c r="F59" s="36">
        <v>199</v>
      </c>
      <c r="G59" s="36"/>
      <c r="H59" s="58">
        <f t="shared" si="7"/>
        <v>1239.68</v>
      </c>
      <c r="I59" s="104"/>
      <c r="J59" s="122"/>
      <c r="K59" s="122"/>
      <c r="L59" s="122"/>
      <c r="M59" s="122"/>
    </row>
    <row r="60" spans="1:13" ht="12.75" customHeight="1" x14ac:dyDescent="0.2">
      <c r="A60" s="37">
        <f t="shared" si="4"/>
        <v>7</v>
      </c>
      <c r="B60" s="37">
        <f t="shared" si="5"/>
        <v>2021</v>
      </c>
      <c r="C60" s="37"/>
      <c r="D60" s="28">
        <v>44391</v>
      </c>
      <c r="E60" s="29" t="s">
        <v>51</v>
      </c>
      <c r="F60" s="36">
        <v>739.68</v>
      </c>
      <c r="G60" s="36"/>
      <c r="H60" s="58">
        <f t="shared" si="7"/>
        <v>500.00000000000011</v>
      </c>
      <c r="I60" s="104"/>
      <c r="J60" s="122"/>
      <c r="K60" s="122"/>
      <c r="L60" s="122"/>
      <c r="M60" s="122"/>
    </row>
    <row r="61" spans="1:13" ht="12.75" customHeight="1" x14ac:dyDescent="0.2">
      <c r="A61" s="37">
        <f t="shared" si="4"/>
        <v>8</v>
      </c>
      <c r="B61" s="37">
        <f t="shared" si="5"/>
        <v>2021</v>
      </c>
      <c r="C61" s="37"/>
      <c r="D61" s="40" t="str">
        <f>MOD(MONTH(D60), 12)+1 &amp; "/10/" &amp; YEAR(D60)</f>
        <v>8/10/2021</v>
      </c>
      <c r="E61" s="39" t="str">
        <f>"Rent: "&amp;LOOKUP(A61-1, Months, TextMonths)&amp;" '"&amp;B61</f>
        <v>Rent: Aug '2021</v>
      </c>
      <c r="F61" s="36"/>
      <c r="G61" s="36">
        <v>1550</v>
      </c>
      <c r="H61" s="58">
        <f t="shared" si="7"/>
        <v>2050</v>
      </c>
      <c r="I61" s="104"/>
      <c r="J61" s="122"/>
      <c r="K61" s="122"/>
      <c r="L61" s="122"/>
      <c r="M61" s="122"/>
    </row>
    <row r="62" spans="1:13" ht="12.75" customHeight="1" x14ac:dyDescent="0.2">
      <c r="A62" s="37">
        <f t="shared" si="4"/>
        <v>8</v>
      </c>
      <c r="B62" s="37">
        <f t="shared" si="5"/>
        <v>2021</v>
      </c>
      <c r="C62" s="37"/>
      <c r="D62" s="28">
        <v>44420</v>
      </c>
      <c r="E62" s="29" t="s">
        <v>51</v>
      </c>
      <c r="F62" s="36">
        <v>1550</v>
      </c>
      <c r="G62" s="36"/>
      <c r="H62" s="58">
        <f t="shared" si="7"/>
        <v>500</v>
      </c>
      <c r="I62" s="122"/>
      <c r="J62" s="122"/>
      <c r="K62" s="122"/>
      <c r="L62" s="122"/>
      <c r="M62" s="122"/>
    </row>
    <row r="63" spans="1:13" ht="12.75" customHeight="1" x14ac:dyDescent="0.2">
      <c r="A63" s="37">
        <f t="shared" si="4"/>
        <v>9</v>
      </c>
      <c r="B63" s="37">
        <f t="shared" si="5"/>
        <v>2021</v>
      </c>
      <c r="C63" s="37"/>
      <c r="D63" s="40" t="str">
        <f>MOD(MONTH(D62), 12)+1 &amp; "/10/" &amp; YEAR(D62)</f>
        <v>9/10/2021</v>
      </c>
      <c r="E63" s="39" t="str">
        <f>"Rent: "&amp;LOOKUP(A63-1, Months, TextMonths)&amp;" '"&amp;B63</f>
        <v>Rent: Sep '2021</v>
      </c>
      <c r="F63" s="36"/>
      <c r="G63" s="36">
        <v>1550</v>
      </c>
      <c r="H63" s="58">
        <f t="shared" si="7"/>
        <v>2050</v>
      </c>
      <c r="I63" s="159"/>
      <c r="J63" s="122"/>
      <c r="K63" s="122"/>
      <c r="L63" s="122"/>
      <c r="M63" s="122"/>
    </row>
    <row r="64" spans="1:13" ht="12.75" customHeight="1" x14ac:dyDescent="0.2">
      <c r="A64" s="37">
        <f t="shared" si="4"/>
        <v>9</v>
      </c>
      <c r="B64" s="37">
        <f t="shared" si="5"/>
        <v>2021</v>
      </c>
      <c r="C64" s="37"/>
      <c r="D64" s="28">
        <v>44452</v>
      </c>
      <c r="E64" s="29" t="s">
        <v>51</v>
      </c>
      <c r="F64" s="36">
        <v>1550</v>
      </c>
      <c r="G64" s="36"/>
      <c r="H64" s="58">
        <f t="shared" si="7"/>
        <v>500</v>
      </c>
      <c r="I64" s="122"/>
      <c r="J64" s="122"/>
      <c r="K64" s="122"/>
      <c r="L64" s="122"/>
      <c r="M64" s="122"/>
    </row>
    <row r="65" spans="1:13" ht="12.75" customHeight="1" x14ac:dyDescent="0.2">
      <c r="A65" s="37">
        <f t="shared" si="4"/>
        <v>10</v>
      </c>
      <c r="B65" s="37">
        <f t="shared" si="5"/>
        <v>2021</v>
      </c>
      <c r="C65" s="37"/>
      <c r="D65" s="40" t="str">
        <f>MOD(MONTH(D64), 12)+1 &amp; "/10/" &amp; YEAR(D64)</f>
        <v>10/10/2021</v>
      </c>
      <c r="E65" s="39" t="str">
        <f>"Rent: "&amp;LOOKUP(A65-1, Months, TextMonths)&amp;" '"&amp;B65</f>
        <v>Rent: Oct '2021</v>
      </c>
      <c r="F65" s="36"/>
      <c r="G65" s="36">
        <v>1550</v>
      </c>
      <c r="H65" s="58">
        <f t="shared" si="7"/>
        <v>2050</v>
      </c>
      <c r="I65" s="122"/>
      <c r="J65" s="122"/>
      <c r="K65" s="122"/>
      <c r="L65" s="122"/>
      <c r="M65" s="122"/>
    </row>
    <row r="66" spans="1:13" ht="14.25" customHeight="1" x14ac:dyDescent="0.2">
      <c r="A66" s="37">
        <f t="shared" si="4"/>
        <v>10</v>
      </c>
      <c r="B66" s="37">
        <f t="shared" si="5"/>
        <v>2021</v>
      </c>
      <c r="C66" s="37"/>
      <c r="D66" s="28">
        <v>44481</v>
      </c>
      <c r="E66" s="29" t="s">
        <v>51</v>
      </c>
      <c r="F66" s="36">
        <v>1550</v>
      </c>
      <c r="G66" s="36"/>
      <c r="H66" s="58">
        <f t="shared" si="7"/>
        <v>500</v>
      </c>
      <c r="I66" s="159"/>
      <c r="J66" s="122"/>
      <c r="K66" s="122"/>
      <c r="L66" s="122"/>
      <c r="M66" s="122"/>
    </row>
    <row r="67" spans="1:13" ht="12.75" customHeight="1" x14ac:dyDescent="0.2">
      <c r="A67" s="37">
        <f t="shared" si="4"/>
        <v>11</v>
      </c>
      <c r="B67" s="37">
        <f t="shared" si="5"/>
        <v>2021</v>
      </c>
      <c r="C67" s="37"/>
      <c r="D67" s="40" t="str">
        <f>MOD(MONTH(D66), 12)+1 &amp; "/10/" &amp; YEAR(D66)</f>
        <v>11/10/2021</v>
      </c>
      <c r="E67" s="39" t="str">
        <f>"Rent: "&amp;LOOKUP(A67-1, Months, TextMonths)&amp;" '"&amp;B67</f>
        <v>Rent: Nov '2021</v>
      </c>
      <c r="F67" s="36"/>
      <c r="G67" s="36">
        <v>1550</v>
      </c>
      <c r="H67" s="58">
        <f t="shared" si="7"/>
        <v>2050</v>
      </c>
      <c r="I67" s="122"/>
      <c r="J67" s="122"/>
      <c r="K67" s="122"/>
      <c r="L67" s="122"/>
      <c r="M67" s="122"/>
    </row>
    <row r="68" spans="1:13" ht="12.75" customHeight="1" x14ac:dyDescent="0.2">
      <c r="A68" s="37">
        <f t="shared" si="4"/>
        <v>11</v>
      </c>
      <c r="B68" s="37">
        <f t="shared" si="5"/>
        <v>2021</v>
      </c>
      <c r="C68" s="37"/>
      <c r="D68" s="28">
        <v>44512</v>
      </c>
      <c r="E68" s="29" t="s">
        <v>51</v>
      </c>
      <c r="F68" s="36">
        <v>1550</v>
      </c>
      <c r="G68" s="36"/>
      <c r="H68" s="58">
        <f t="shared" si="7"/>
        <v>500</v>
      </c>
      <c r="I68" s="122"/>
      <c r="J68" s="122"/>
      <c r="K68" s="122"/>
      <c r="L68" s="122"/>
      <c r="M68" s="122"/>
    </row>
    <row r="69" spans="1:13" ht="12.75" customHeight="1" x14ac:dyDescent="0.2">
      <c r="A69" s="57">
        <f t="shared" si="4"/>
        <v>1</v>
      </c>
      <c r="B69" s="57">
        <f t="shared" si="5"/>
        <v>2022</v>
      </c>
      <c r="C69" s="37"/>
      <c r="D69" s="28">
        <v>44570</v>
      </c>
      <c r="E69" s="29" t="s">
        <v>103</v>
      </c>
      <c r="F69" s="36">
        <v>702.32</v>
      </c>
      <c r="G69" s="36"/>
      <c r="H69" s="58">
        <f t="shared" si="7"/>
        <v>-202.32000000000005</v>
      </c>
      <c r="I69" s="122"/>
      <c r="J69" s="122"/>
      <c r="K69" s="122"/>
      <c r="L69" s="122"/>
      <c r="M69" s="122"/>
    </row>
    <row r="70" spans="1:13" ht="12.75" customHeight="1" x14ac:dyDescent="0.2">
      <c r="A70" s="37">
        <f t="shared" si="4"/>
        <v>12</v>
      </c>
      <c r="B70" s="37">
        <f t="shared" si="5"/>
        <v>2021</v>
      </c>
      <c r="C70" s="37"/>
      <c r="D70" s="40" t="str">
        <f>MOD(MONTH(D68), 12)+1 &amp; "/10/" &amp; YEAR(D68)</f>
        <v>12/10/2021</v>
      </c>
      <c r="E70" s="39" t="str">
        <f>"Rent: "&amp;LOOKUP(A70-1, Months, TextMonths)&amp;" '"&amp;B70</f>
        <v>Rent: Dec '2021</v>
      </c>
      <c r="F70" s="36"/>
      <c r="G70" s="36">
        <v>1550</v>
      </c>
      <c r="H70" s="58">
        <f t="shared" si="7"/>
        <v>1347.6799999999998</v>
      </c>
      <c r="I70" s="122"/>
      <c r="J70" s="122"/>
      <c r="K70" s="159"/>
      <c r="L70" s="159"/>
      <c r="M70" s="122"/>
    </row>
    <row r="71" spans="1:13" ht="12.75" customHeight="1" x14ac:dyDescent="0.2">
      <c r="A71" s="37">
        <f t="shared" si="4"/>
        <v>12</v>
      </c>
      <c r="B71" s="37">
        <f t="shared" si="5"/>
        <v>2021</v>
      </c>
      <c r="C71" s="37"/>
      <c r="D71" s="28">
        <v>44544</v>
      </c>
      <c r="E71" s="29" t="s">
        <v>51</v>
      </c>
      <c r="F71" s="36">
        <v>1550</v>
      </c>
      <c r="G71" s="36"/>
      <c r="H71" s="58">
        <f t="shared" si="7"/>
        <v>-202.32000000000016</v>
      </c>
      <c r="I71" s="159"/>
      <c r="J71" s="122"/>
      <c r="K71" s="122"/>
      <c r="L71" s="122"/>
      <c r="M71" s="122"/>
    </row>
    <row r="72" spans="1:13" ht="12.75" customHeight="1" x14ac:dyDescent="0.2">
      <c r="A72" s="37">
        <f t="shared" si="4"/>
        <v>1</v>
      </c>
      <c r="B72" s="37">
        <f t="shared" si="5"/>
        <v>2022</v>
      </c>
      <c r="C72" s="37"/>
      <c r="D72" s="40" t="str">
        <f>MOD(MONTH(D71), 12)+1 &amp; "/10/" &amp; YEAR(D71)+1</f>
        <v>1/10/2022</v>
      </c>
      <c r="E72" s="39" t="str">
        <f>"Rent: "&amp;LOOKUP(A72-1, Months, TextMonths)&amp;" '"&amp;B72</f>
        <v>Rent: Jan '2022</v>
      </c>
      <c r="F72" s="36"/>
      <c r="G72" s="36">
        <v>1700</v>
      </c>
      <c r="H72" s="58">
        <f t="shared" si="7"/>
        <v>1497.6799999999998</v>
      </c>
      <c r="I72" s="159"/>
      <c r="J72" s="122"/>
      <c r="K72" s="122"/>
      <c r="L72" s="122"/>
      <c r="M72" s="122"/>
    </row>
    <row r="73" spans="1:13" ht="12.75" customHeight="1" x14ac:dyDescent="0.2">
      <c r="A73" s="57">
        <f t="shared" si="4"/>
        <v>1</v>
      </c>
      <c r="B73" s="57">
        <f t="shared" si="5"/>
        <v>2022</v>
      </c>
      <c r="C73" s="37"/>
      <c r="D73" s="28">
        <v>44570</v>
      </c>
      <c r="E73" s="29" t="s">
        <v>104</v>
      </c>
      <c r="F73" s="36">
        <v>189.68</v>
      </c>
      <c r="G73" s="36"/>
      <c r="H73" s="58">
        <f t="shared" si="7"/>
        <v>1307.9999999999998</v>
      </c>
      <c r="I73" s="104"/>
      <c r="J73" s="122"/>
      <c r="K73" s="122"/>
      <c r="L73" s="122"/>
      <c r="M73" s="122"/>
    </row>
    <row r="74" spans="1:13" ht="14.25" customHeight="1" x14ac:dyDescent="0.2">
      <c r="A74" s="37">
        <f t="shared" si="4"/>
        <v>1</v>
      </c>
      <c r="B74" s="37">
        <f t="shared" si="5"/>
        <v>2022</v>
      </c>
      <c r="C74" s="37"/>
      <c r="D74" s="28">
        <v>44575</v>
      </c>
      <c r="E74" s="29" t="s">
        <v>51</v>
      </c>
      <c r="F74" s="36">
        <v>1308</v>
      </c>
      <c r="G74" s="36"/>
      <c r="H74" s="58">
        <f t="shared" si="7"/>
        <v>0</v>
      </c>
      <c r="I74" s="122"/>
      <c r="J74" s="122"/>
      <c r="K74" s="122"/>
      <c r="L74" s="122"/>
      <c r="M74" s="122"/>
    </row>
    <row r="75" spans="1:13" ht="12.75" customHeight="1" x14ac:dyDescent="0.2">
      <c r="A75" s="37">
        <f t="shared" si="4"/>
        <v>2</v>
      </c>
      <c r="B75" s="37">
        <f t="shared" si="5"/>
        <v>2022</v>
      </c>
      <c r="C75" s="37"/>
      <c r="D75" s="40" t="str">
        <f>MOD(MONTH(D74), 12)+1 &amp; "/10/" &amp; YEAR(D74)</f>
        <v>2/10/2022</v>
      </c>
      <c r="E75" s="39" t="str">
        <f>"Rent: "&amp;LOOKUP(A75-1, Months, TextMonths)&amp;" '"&amp;B75</f>
        <v>Rent: Feb '2022</v>
      </c>
      <c r="F75" s="36"/>
      <c r="G75" s="36">
        <v>1700</v>
      </c>
      <c r="H75" s="58">
        <f t="shared" si="7"/>
        <v>1700</v>
      </c>
      <c r="I75" s="122"/>
      <c r="J75" s="122"/>
      <c r="K75" s="122"/>
      <c r="L75" s="122"/>
      <c r="M75" s="122"/>
    </row>
    <row r="76" spans="1:13" ht="12.75" customHeight="1" x14ac:dyDescent="0.2">
      <c r="A76" s="37">
        <f t="shared" si="4"/>
        <v>2</v>
      </c>
      <c r="B76" s="37">
        <f t="shared" si="5"/>
        <v>2022</v>
      </c>
      <c r="C76" s="37"/>
      <c r="D76" s="28">
        <v>44603</v>
      </c>
      <c r="E76" s="29" t="s">
        <v>51</v>
      </c>
      <c r="F76" s="36">
        <v>1700</v>
      </c>
      <c r="G76" s="36"/>
      <c r="H76" s="58">
        <f t="shared" si="7"/>
        <v>0</v>
      </c>
      <c r="I76" s="104"/>
      <c r="J76" s="122"/>
      <c r="K76" s="122"/>
      <c r="L76" s="122"/>
      <c r="M76" s="122"/>
    </row>
    <row r="77" spans="1:13" ht="12.75" customHeight="1" x14ac:dyDescent="0.2">
      <c r="A77" s="37">
        <f t="shared" si="4"/>
        <v>3</v>
      </c>
      <c r="B77" s="37">
        <f t="shared" si="5"/>
        <v>2022</v>
      </c>
      <c r="C77" s="37"/>
      <c r="D77" s="40" t="str">
        <f>MOD(MONTH(D76), 12)+1 &amp; "/10/" &amp; YEAR(D76)</f>
        <v>3/10/2022</v>
      </c>
      <c r="E77" s="39" t="str">
        <f>"Rent: "&amp;LOOKUP(A77-1, Months, TextMonths)&amp;" '"&amp;B77</f>
        <v>Rent: Mar '2022</v>
      </c>
      <c r="F77" s="36"/>
      <c r="G77" s="36">
        <v>1700</v>
      </c>
      <c r="H77" s="58">
        <f t="shared" si="7"/>
        <v>1700</v>
      </c>
      <c r="I77" s="122"/>
      <c r="J77" s="122"/>
      <c r="K77" s="122"/>
      <c r="L77" s="122"/>
      <c r="M77" s="122"/>
    </row>
    <row r="78" spans="1:13" ht="12.75" customHeight="1" x14ac:dyDescent="0.2">
      <c r="A78" s="37">
        <f t="shared" si="4"/>
        <v>3</v>
      </c>
      <c r="B78" s="37">
        <f t="shared" si="5"/>
        <v>2022</v>
      </c>
      <c r="C78" s="37"/>
      <c r="D78" s="28">
        <v>44634</v>
      </c>
      <c r="E78" s="29" t="s">
        <v>51</v>
      </c>
      <c r="F78" s="36">
        <v>1700</v>
      </c>
      <c r="G78" s="36"/>
      <c r="H78" s="58">
        <f t="shared" si="7"/>
        <v>0</v>
      </c>
      <c r="I78" s="104"/>
      <c r="J78" s="122"/>
      <c r="K78" s="122"/>
      <c r="L78" s="122"/>
      <c r="M78" s="122"/>
    </row>
    <row r="79" spans="1:13" ht="12.75" customHeight="1" x14ac:dyDescent="0.2">
      <c r="A79" s="37">
        <f t="shared" si="4"/>
        <v>4</v>
      </c>
      <c r="B79" s="37">
        <f t="shared" si="5"/>
        <v>2022</v>
      </c>
      <c r="C79" s="37"/>
      <c r="D79" s="40" t="str">
        <f>MOD(MONTH(D78), 12)+1 &amp; "/10/" &amp; YEAR(D78)</f>
        <v>4/10/2022</v>
      </c>
      <c r="E79" s="39" t="str">
        <f>"Rent: "&amp;LOOKUP(A79-1, Months, TextMonths)&amp;" '"&amp;B79</f>
        <v>Rent: Apr '2022</v>
      </c>
      <c r="F79" s="36"/>
      <c r="G79" s="36">
        <v>1700</v>
      </c>
      <c r="H79" s="58">
        <f t="shared" si="7"/>
        <v>1700</v>
      </c>
      <c r="I79" s="122"/>
      <c r="J79" s="122"/>
      <c r="K79" s="122"/>
      <c r="L79" s="122"/>
      <c r="M79" s="122"/>
    </row>
    <row r="80" spans="1:13" ht="12.75" customHeight="1" x14ac:dyDescent="0.2">
      <c r="A80" s="37">
        <f t="shared" si="4"/>
        <v>4</v>
      </c>
      <c r="B80" s="37">
        <f t="shared" si="5"/>
        <v>2022</v>
      </c>
      <c r="C80" s="37"/>
      <c r="D80" s="28">
        <v>44663</v>
      </c>
      <c r="E80" s="29" t="s">
        <v>51</v>
      </c>
      <c r="F80" s="36">
        <v>1700</v>
      </c>
      <c r="G80" s="36"/>
      <c r="H80" s="58">
        <f t="shared" si="7"/>
        <v>0</v>
      </c>
      <c r="I80" s="104"/>
      <c r="J80" s="122"/>
      <c r="K80" s="122"/>
      <c r="L80" s="122"/>
      <c r="M80" s="122"/>
    </row>
    <row r="81" spans="1:13" ht="12.75" customHeight="1" x14ac:dyDescent="0.2">
      <c r="A81" s="37">
        <f t="shared" si="4"/>
        <v>5</v>
      </c>
      <c r="B81" s="37">
        <f t="shared" si="5"/>
        <v>2022</v>
      </c>
      <c r="C81" s="37"/>
      <c r="D81" s="40" t="str">
        <f>MOD(MONTH(D80), 12)+1 &amp; "/10/" &amp; YEAR(D80)</f>
        <v>5/10/2022</v>
      </c>
      <c r="E81" s="39" t="str">
        <f>"Rent: "&amp;LOOKUP(A81-1, Months, TextMonths)&amp;" '"&amp;B81</f>
        <v>Rent: May '2022</v>
      </c>
      <c r="F81" s="36"/>
      <c r="G81" s="36">
        <v>1700</v>
      </c>
      <c r="H81" s="58">
        <f t="shared" si="7"/>
        <v>1700</v>
      </c>
      <c r="I81" s="122"/>
      <c r="J81" s="122"/>
      <c r="K81" s="122"/>
      <c r="L81" s="122"/>
      <c r="M81" s="122"/>
    </row>
    <row r="82" spans="1:13" ht="12.75" customHeight="1" x14ac:dyDescent="0.2">
      <c r="A82" s="37">
        <f t="shared" si="4"/>
        <v>5</v>
      </c>
      <c r="B82" s="37">
        <f t="shared" si="5"/>
        <v>2022</v>
      </c>
      <c r="C82" s="37"/>
      <c r="D82" s="28">
        <v>44693</v>
      </c>
      <c r="E82" s="29" t="s">
        <v>51</v>
      </c>
      <c r="F82" s="36">
        <v>500</v>
      </c>
      <c r="G82" s="36"/>
      <c r="H82" s="58">
        <f t="shared" si="7"/>
        <v>1200</v>
      </c>
      <c r="I82" s="104"/>
      <c r="J82" s="122"/>
      <c r="K82" s="122"/>
      <c r="L82" s="122"/>
      <c r="M82" s="122"/>
    </row>
    <row r="83" spans="1:13" ht="12.75" customHeight="1" x14ac:dyDescent="0.2">
      <c r="A83" s="37">
        <f t="shared" si="4"/>
        <v>5</v>
      </c>
      <c r="B83" s="37">
        <f t="shared" si="5"/>
        <v>2022</v>
      </c>
      <c r="C83" s="37"/>
      <c r="D83" s="28">
        <v>44694</v>
      </c>
      <c r="E83" s="29" t="s">
        <v>51</v>
      </c>
      <c r="F83" s="36">
        <v>500</v>
      </c>
      <c r="G83" s="36"/>
      <c r="H83" s="58">
        <f t="shared" si="7"/>
        <v>700</v>
      </c>
      <c r="I83" s="159"/>
      <c r="J83" s="122"/>
      <c r="K83" s="122"/>
      <c r="L83" s="122"/>
      <c r="M83" s="122"/>
    </row>
    <row r="84" spans="1:13" ht="12.75" customHeight="1" x14ac:dyDescent="0.2">
      <c r="A84" s="37">
        <f t="shared" si="4"/>
        <v>5</v>
      </c>
      <c r="B84" s="37">
        <f t="shared" si="5"/>
        <v>2022</v>
      </c>
      <c r="C84" s="37"/>
      <c r="D84" s="28">
        <v>44697</v>
      </c>
      <c r="E84" s="29" t="s">
        <v>51</v>
      </c>
      <c r="F84" s="36">
        <v>500</v>
      </c>
      <c r="G84" s="36"/>
      <c r="H84" s="58">
        <f t="shared" si="7"/>
        <v>200</v>
      </c>
      <c r="I84" s="122"/>
      <c r="J84" s="122"/>
      <c r="K84" s="122"/>
      <c r="L84" s="122"/>
      <c r="M84" s="122"/>
    </row>
    <row r="85" spans="1:13" ht="12.75" customHeight="1" x14ac:dyDescent="0.2">
      <c r="A85" s="37">
        <f t="shared" ref="A85:A87" si="9">MONTH(D85)</f>
        <v>6</v>
      </c>
      <c r="B85" s="37">
        <f t="shared" ref="B85:B87" si="10">YEAR(D85)</f>
        <v>2022</v>
      </c>
      <c r="C85" s="37"/>
      <c r="D85" s="40" t="str">
        <f>MOD(MONTH(D84), 12)+1 &amp; "/10/" &amp; YEAR(D84)</f>
        <v>6/10/2022</v>
      </c>
      <c r="E85" s="39" t="str">
        <f>"Rent: "&amp;LOOKUP(A85-1, Months, TextMonths)&amp;" '"&amp;B85</f>
        <v>Rent: Jun '2022</v>
      </c>
      <c r="F85" s="36"/>
      <c r="G85" s="36">
        <v>1700</v>
      </c>
      <c r="H85" s="58">
        <f t="shared" ref="H85:H92" si="11">H84+G85-F85</f>
        <v>1900</v>
      </c>
      <c r="I85" s="122"/>
      <c r="J85" s="122"/>
      <c r="K85" s="122"/>
      <c r="L85" s="122"/>
      <c r="M85" s="122"/>
    </row>
    <row r="86" spans="1:13" ht="12.75" customHeight="1" x14ac:dyDescent="0.2">
      <c r="A86" s="37">
        <f t="shared" ref="A86" si="12">MONTH(D86)</f>
        <v>6</v>
      </c>
      <c r="B86" s="37">
        <f t="shared" ref="B86" si="13">YEAR(D86)</f>
        <v>2022</v>
      </c>
      <c r="C86" s="37"/>
      <c r="D86" s="28">
        <v>44718</v>
      </c>
      <c r="E86" s="29" t="s">
        <v>51</v>
      </c>
      <c r="F86" s="36">
        <v>200</v>
      </c>
      <c r="G86" s="36"/>
      <c r="H86" s="58">
        <f t="shared" si="11"/>
        <v>1700</v>
      </c>
      <c r="I86" s="122"/>
      <c r="J86" s="122"/>
      <c r="K86" s="122"/>
      <c r="L86" s="122"/>
      <c r="M86" s="122"/>
    </row>
    <row r="87" spans="1:13" ht="12.75" customHeight="1" x14ac:dyDescent="0.2">
      <c r="A87" s="37">
        <f t="shared" si="9"/>
        <v>6</v>
      </c>
      <c r="B87" s="37">
        <f t="shared" si="10"/>
        <v>2022</v>
      </c>
      <c r="C87" s="37"/>
      <c r="D87" s="28">
        <v>44726</v>
      </c>
      <c r="E87" s="29" t="s">
        <v>51</v>
      </c>
      <c r="F87" s="36">
        <v>1700</v>
      </c>
      <c r="G87" s="36"/>
      <c r="H87" s="58">
        <f t="shared" si="11"/>
        <v>0</v>
      </c>
      <c r="I87" s="122"/>
      <c r="J87" s="122"/>
      <c r="K87" s="122"/>
      <c r="L87" s="122"/>
      <c r="M87" s="122"/>
    </row>
    <row r="88" spans="1:13" ht="14.25" customHeight="1" x14ac:dyDescent="0.2">
      <c r="A88" s="37">
        <f t="shared" ref="A88:A89" si="14">MONTH(D88)</f>
        <v>7</v>
      </c>
      <c r="B88" s="37">
        <f t="shared" ref="B88:B89" si="15">YEAR(D88)</f>
        <v>2022</v>
      </c>
      <c r="C88" s="37"/>
      <c r="D88" s="40" t="str">
        <f>MOD(MONTH(D87), 12)+1 &amp; "/10/" &amp; YEAR(D87)</f>
        <v>7/10/2022</v>
      </c>
      <c r="E88" s="39" t="str">
        <f>"Rent: "&amp;LOOKUP(A88-1, Months, TextMonths)&amp;" '"&amp;B88</f>
        <v>Rent: Jul '2022</v>
      </c>
      <c r="F88" s="36"/>
      <c r="G88" s="36">
        <v>1700</v>
      </c>
      <c r="H88" s="58">
        <f t="shared" si="11"/>
        <v>1700</v>
      </c>
      <c r="I88" s="122"/>
      <c r="J88" s="122"/>
      <c r="K88" s="122"/>
      <c r="L88" s="122"/>
      <c r="M88" s="122"/>
    </row>
    <row r="89" spans="1:13" ht="12.75" customHeight="1" x14ac:dyDescent="0.2">
      <c r="A89" s="37">
        <f t="shared" si="14"/>
        <v>7</v>
      </c>
      <c r="B89" s="37">
        <f t="shared" si="15"/>
        <v>2022</v>
      </c>
      <c r="C89" s="37"/>
      <c r="D89" s="28">
        <v>44753</v>
      </c>
      <c r="E89" s="29" t="s">
        <v>51</v>
      </c>
      <c r="F89" s="36">
        <v>1700</v>
      </c>
      <c r="G89" s="36"/>
      <c r="H89" s="58">
        <f t="shared" si="11"/>
        <v>0</v>
      </c>
      <c r="I89" s="122"/>
      <c r="J89" s="122"/>
      <c r="K89" s="122"/>
      <c r="L89" s="122"/>
      <c r="M89" s="122"/>
    </row>
    <row r="90" spans="1:13" ht="12.75" customHeight="1" x14ac:dyDescent="0.2">
      <c r="A90" s="37">
        <f t="shared" ref="A90:A92" si="16">MONTH(D90)</f>
        <v>8</v>
      </c>
      <c r="B90" s="37">
        <f t="shared" ref="B90:B92" si="17">YEAR(D90)</f>
        <v>2022</v>
      </c>
      <c r="C90" s="37"/>
      <c r="D90" s="40" t="str">
        <f>MOD(MONTH(D89), 12)+1 &amp; "/10/" &amp; YEAR(D89)</f>
        <v>8/10/2022</v>
      </c>
      <c r="E90" s="39" t="str">
        <f>"Rent: "&amp;LOOKUP(A90-1, Months, TextMonths)&amp;" '"&amp;B90</f>
        <v>Rent: Aug '2022</v>
      </c>
      <c r="F90" s="36"/>
      <c r="G90" s="36">
        <v>1700</v>
      </c>
      <c r="H90" s="58">
        <f t="shared" si="11"/>
        <v>1700</v>
      </c>
      <c r="I90" s="122"/>
      <c r="J90" s="122"/>
      <c r="K90" s="122"/>
      <c r="L90" s="122"/>
      <c r="M90" s="122"/>
    </row>
    <row r="91" spans="1:13" ht="12.75" customHeight="1" x14ac:dyDescent="0.2">
      <c r="A91" s="37">
        <f t="shared" si="16"/>
        <v>8</v>
      </c>
      <c r="B91" s="37">
        <f t="shared" si="17"/>
        <v>2022</v>
      </c>
      <c r="C91" s="37"/>
      <c r="D91" s="28">
        <v>44785</v>
      </c>
      <c r="E91" s="29" t="s">
        <v>51</v>
      </c>
      <c r="F91" s="36">
        <v>1112.5</v>
      </c>
      <c r="G91" s="36"/>
      <c r="H91" s="58">
        <f t="shared" si="11"/>
        <v>587.5</v>
      </c>
      <c r="I91" s="122"/>
      <c r="J91" s="122"/>
      <c r="K91" s="122"/>
      <c r="L91" s="122"/>
      <c r="M91" s="122"/>
    </row>
    <row r="92" spans="1:13" ht="12.75" customHeight="1" x14ac:dyDescent="0.2">
      <c r="A92" s="37">
        <f t="shared" si="16"/>
        <v>5</v>
      </c>
      <c r="B92" s="37">
        <f t="shared" si="17"/>
        <v>2022</v>
      </c>
      <c r="C92" s="37"/>
      <c r="D92" s="28">
        <v>44694</v>
      </c>
      <c r="E92" s="29" t="s">
        <v>118</v>
      </c>
      <c r="F92" s="36">
        <v>587.5</v>
      </c>
      <c r="G92" s="36"/>
      <c r="H92" s="58">
        <f t="shared" si="11"/>
        <v>0</v>
      </c>
      <c r="I92" s="122"/>
      <c r="J92" s="122"/>
      <c r="K92" s="122"/>
      <c r="L92" s="122"/>
      <c r="M92" s="122"/>
    </row>
    <row r="93" spans="1:13" ht="12.75" customHeight="1" x14ac:dyDescent="0.2">
      <c r="A93" s="37">
        <f t="shared" ref="A93:A94" si="18">MONTH(D93)</f>
        <v>9</v>
      </c>
      <c r="B93" s="37">
        <f t="shared" ref="B93:B94" si="19">YEAR(D93)</f>
        <v>2022</v>
      </c>
      <c r="C93" s="37"/>
      <c r="D93" s="40" t="str">
        <f>MOD(MONTH(D92), 12)+4 &amp; "/10/" &amp; YEAR(D92)</f>
        <v>9/10/2022</v>
      </c>
      <c r="E93" s="39" t="str">
        <f>"Rent: "&amp;LOOKUP(A93-1, Months, TextMonths)&amp;" '"&amp;B93</f>
        <v>Rent: Sep '2022</v>
      </c>
      <c r="F93" s="36"/>
      <c r="G93" s="36">
        <v>1700</v>
      </c>
      <c r="H93" s="58">
        <f t="shared" ref="H93:H94" si="20">H92+G93-F93</f>
        <v>1700</v>
      </c>
      <c r="I93" s="122"/>
      <c r="J93" s="122"/>
      <c r="K93" s="122"/>
      <c r="L93" s="122"/>
      <c r="M93" s="122"/>
    </row>
    <row r="94" spans="1:13" ht="12.75" customHeight="1" x14ac:dyDescent="0.2">
      <c r="A94" s="37">
        <f t="shared" si="18"/>
        <v>9</v>
      </c>
      <c r="B94" s="37">
        <f t="shared" si="19"/>
        <v>2022</v>
      </c>
      <c r="C94" s="37"/>
      <c r="D94" s="28">
        <v>44817</v>
      </c>
      <c r="E94" s="29" t="s">
        <v>51</v>
      </c>
      <c r="F94" s="36">
        <v>1700</v>
      </c>
      <c r="G94" s="36"/>
      <c r="H94" s="58">
        <f t="shared" si="20"/>
        <v>0</v>
      </c>
      <c r="I94" s="122"/>
      <c r="J94" s="122"/>
      <c r="K94" s="122"/>
      <c r="L94" s="122"/>
      <c r="M94" s="122"/>
    </row>
    <row r="95" spans="1:13" ht="12.75" customHeight="1" x14ac:dyDescent="0.2">
      <c r="A95" s="37">
        <f t="shared" ref="A95:A98" si="21">MONTH(D95)</f>
        <v>10</v>
      </c>
      <c r="B95" s="37">
        <f t="shared" ref="B95:B98" si="22">YEAR(D95)</f>
        <v>2022</v>
      </c>
      <c r="C95" s="37"/>
      <c r="D95" s="40" t="str">
        <f>MOD(MONTH(D94)+1, 12) &amp; "/10/" &amp; YEAR(D94)</f>
        <v>10/10/2022</v>
      </c>
      <c r="E95" s="39" t="str">
        <f>"Rent: "&amp;LOOKUP(A95-1, Months, TextMonths)&amp;" '"&amp;B95</f>
        <v>Rent: Oct '2022</v>
      </c>
      <c r="F95" s="36"/>
      <c r="G95" s="36">
        <v>1700</v>
      </c>
      <c r="H95" s="58">
        <f t="shared" ref="H95:H98" si="23">H94+G95-F95</f>
        <v>1700</v>
      </c>
      <c r="I95" s="122"/>
      <c r="J95" s="122"/>
      <c r="K95" s="122"/>
      <c r="L95" s="122"/>
      <c r="M95" s="122"/>
    </row>
    <row r="96" spans="1:13" ht="12.75" customHeight="1" x14ac:dyDescent="0.2">
      <c r="A96" s="37">
        <f t="shared" si="21"/>
        <v>10</v>
      </c>
      <c r="B96" s="37">
        <f t="shared" si="22"/>
        <v>2022</v>
      </c>
      <c r="C96" s="37"/>
      <c r="D96" s="28">
        <v>44846</v>
      </c>
      <c r="E96" s="29" t="s">
        <v>51</v>
      </c>
      <c r="F96" s="36">
        <v>1700</v>
      </c>
      <c r="G96" s="36"/>
      <c r="H96" s="58">
        <f t="shared" si="23"/>
        <v>0</v>
      </c>
      <c r="I96" s="122"/>
      <c r="J96" s="122"/>
      <c r="K96" s="122"/>
      <c r="L96" s="122"/>
      <c r="M96" s="122"/>
    </row>
    <row r="97" spans="1:13" ht="12.75" customHeight="1" x14ac:dyDescent="0.2">
      <c r="A97" s="37">
        <f t="shared" si="21"/>
        <v>11</v>
      </c>
      <c r="B97" s="37">
        <f t="shared" si="22"/>
        <v>2022</v>
      </c>
      <c r="C97" s="37"/>
      <c r="D97" s="40" t="str">
        <f>MOD(MONTH(D96)+1, 12) &amp; "/10/" &amp; YEAR(D96)</f>
        <v>11/10/2022</v>
      </c>
      <c r="E97" s="39" t="str">
        <f>"Rent: "&amp;LOOKUP(A97-1, Months, TextMonths)&amp;" '"&amp;B97</f>
        <v>Rent: Nov '2022</v>
      </c>
      <c r="F97" s="36"/>
      <c r="G97" s="36">
        <v>1700</v>
      </c>
      <c r="H97" s="58">
        <f t="shared" si="23"/>
        <v>1700</v>
      </c>
      <c r="I97" s="122"/>
      <c r="J97" s="122"/>
      <c r="K97" s="122"/>
      <c r="L97" s="122"/>
      <c r="M97" s="122"/>
    </row>
    <row r="98" spans="1:13" ht="12.75" customHeight="1" x14ac:dyDescent="0.2">
      <c r="A98" s="37">
        <f t="shared" si="21"/>
        <v>11</v>
      </c>
      <c r="B98" s="37">
        <f t="shared" si="22"/>
        <v>2022</v>
      </c>
      <c r="C98" s="37"/>
      <c r="D98" s="28">
        <v>44879</v>
      </c>
      <c r="E98" s="29" t="s">
        <v>51</v>
      </c>
      <c r="F98" s="36">
        <v>1700</v>
      </c>
      <c r="G98" s="36"/>
      <c r="H98" s="58">
        <f t="shared" si="23"/>
        <v>0</v>
      </c>
      <c r="I98" s="122"/>
      <c r="J98" s="122"/>
      <c r="K98" s="122"/>
      <c r="L98" s="122"/>
      <c r="M98" s="122"/>
    </row>
    <row r="99" spans="1:13" ht="12.75" customHeight="1" x14ac:dyDescent="0.2">
      <c r="A99" s="37">
        <f t="shared" ref="A99:A120" si="24">MONTH(D99)</f>
        <v>12</v>
      </c>
      <c r="B99" s="37">
        <f t="shared" ref="B99:B120" si="25">YEAR(D99)</f>
        <v>2022</v>
      </c>
      <c r="C99" s="37"/>
      <c r="D99" s="40" t="str">
        <f>MOD(MONTH(D98), 12)+1 &amp; "/10/" &amp; YEAR(D98)</f>
        <v>12/10/2022</v>
      </c>
      <c r="E99" s="39" t="str">
        <f>"Rent: "&amp;LOOKUP(A99-1, Months, TextMonths)&amp;" '"&amp;B99</f>
        <v>Rent: Dec '2022</v>
      </c>
      <c r="F99" s="36"/>
      <c r="G99" s="36">
        <v>1700</v>
      </c>
      <c r="H99" s="58">
        <f t="shared" ref="H99:H120" si="26">H98+G99-F99</f>
        <v>1700</v>
      </c>
      <c r="I99" s="122"/>
      <c r="J99" s="122"/>
      <c r="K99" s="122"/>
      <c r="L99" s="122"/>
      <c r="M99" s="122"/>
    </row>
    <row r="100" spans="1:13" ht="12.75" customHeight="1" x14ac:dyDescent="0.2">
      <c r="A100" s="37">
        <f t="shared" si="24"/>
        <v>12</v>
      </c>
      <c r="B100" s="37">
        <f t="shared" si="25"/>
        <v>2022</v>
      </c>
      <c r="C100" s="37"/>
      <c r="D100" s="28">
        <v>44907</v>
      </c>
      <c r="E100" s="29" t="s">
        <v>51</v>
      </c>
      <c r="F100" s="36">
        <v>1700</v>
      </c>
      <c r="G100" s="36"/>
      <c r="H100" s="58">
        <f t="shared" si="26"/>
        <v>0</v>
      </c>
      <c r="I100" s="122"/>
      <c r="J100" s="122"/>
      <c r="K100" s="122"/>
      <c r="L100" s="122"/>
      <c r="M100" s="122"/>
    </row>
    <row r="101" spans="1:13" ht="12.75" customHeight="1" x14ac:dyDescent="0.2">
      <c r="A101" s="199">
        <f t="shared" si="24"/>
        <v>1</v>
      </c>
      <c r="B101" s="199">
        <f t="shared" si="25"/>
        <v>2023</v>
      </c>
      <c r="C101" s="199"/>
      <c r="D101" s="203" t="str">
        <f>MOD(MONTH(D100), 12)+1 &amp; "/10/" &amp; YEAR(D100)+1</f>
        <v>1/10/2023</v>
      </c>
      <c r="E101" s="204" t="str">
        <f>"Rent: "&amp;LOOKUP(A101-1, Months, TextMonths)&amp;" '"&amp;B101</f>
        <v>Rent: Jan '2023</v>
      </c>
      <c r="F101" s="162"/>
      <c r="G101" s="162">
        <v>1825</v>
      </c>
      <c r="H101" s="230">
        <f t="shared" si="26"/>
        <v>1825</v>
      </c>
      <c r="I101" s="122"/>
      <c r="J101" s="122"/>
      <c r="K101" s="122"/>
      <c r="L101" s="122"/>
      <c r="M101" s="122"/>
    </row>
    <row r="102" spans="1:13" ht="12.75" customHeight="1" x14ac:dyDescent="0.2">
      <c r="A102" s="199">
        <f t="shared" si="24"/>
        <v>1</v>
      </c>
      <c r="B102" s="199">
        <f t="shared" si="25"/>
        <v>2023</v>
      </c>
      <c r="C102" s="199"/>
      <c r="D102" s="200">
        <v>44938</v>
      </c>
      <c r="E102" s="202" t="s">
        <v>51</v>
      </c>
      <c r="F102" s="162">
        <v>1781</v>
      </c>
      <c r="G102" s="162"/>
      <c r="H102" s="230">
        <f t="shared" si="26"/>
        <v>44</v>
      </c>
      <c r="I102" s="122"/>
      <c r="J102" s="122"/>
      <c r="K102" s="122"/>
      <c r="L102" s="122"/>
      <c r="M102" s="122"/>
    </row>
    <row r="103" spans="1:13" ht="12.75" customHeight="1" x14ac:dyDescent="0.2">
      <c r="A103" s="199">
        <f t="shared" si="24"/>
        <v>5</v>
      </c>
      <c r="B103" s="199">
        <f t="shared" si="25"/>
        <v>2022</v>
      </c>
      <c r="C103" s="199"/>
      <c r="D103" s="200">
        <v>44694</v>
      </c>
      <c r="E103" s="202" t="s">
        <v>169</v>
      </c>
      <c r="F103" s="162">
        <v>44</v>
      </c>
      <c r="G103" s="162"/>
      <c r="H103" s="230">
        <f t="shared" si="26"/>
        <v>0</v>
      </c>
      <c r="I103" s="30"/>
    </row>
    <row r="104" spans="1:13" ht="12.75" customHeight="1" x14ac:dyDescent="0.2">
      <c r="A104" s="102">
        <f t="shared" si="24"/>
        <v>2</v>
      </c>
      <c r="B104" s="102">
        <f t="shared" si="25"/>
        <v>2023</v>
      </c>
      <c r="C104" s="102"/>
      <c r="D104" s="120" t="str">
        <f>MOD(MONTH(D102), 12)+1 &amp; "/10/" &amp; YEAR(D102)</f>
        <v>2/10/2023</v>
      </c>
      <c r="E104" s="121" t="str">
        <f>"Rent: "&amp;LOOKUP(A104-1, Months, TextMonths)&amp;" '"&amp;B104</f>
        <v>Rent: Feb '2023</v>
      </c>
      <c r="F104" s="36"/>
      <c r="G104" s="36">
        <v>1825</v>
      </c>
      <c r="H104" s="254">
        <f t="shared" si="26"/>
        <v>1825</v>
      </c>
      <c r="I104" s="30"/>
    </row>
    <row r="105" spans="1:13" ht="12.75" customHeight="1" x14ac:dyDescent="0.2">
      <c r="A105" s="102">
        <f t="shared" si="24"/>
        <v>2</v>
      </c>
      <c r="B105" s="102">
        <f t="shared" si="25"/>
        <v>2023</v>
      </c>
      <c r="C105" s="102"/>
      <c r="D105" s="28">
        <v>44976</v>
      </c>
      <c r="E105" s="29" t="s">
        <v>51</v>
      </c>
      <c r="F105" s="36">
        <v>1825</v>
      </c>
      <c r="G105" s="36"/>
      <c r="H105" s="254">
        <f t="shared" si="26"/>
        <v>0</v>
      </c>
    </row>
    <row r="106" spans="1:13" ht="14.25" customHeight="1" x14ac:dyDescent="0.2">
      <c r="A106" s="102">
        <f t="shared" si="24"/>
        <v>3</v>
      </c>
      <c r="B106" s="102">
        <f t="shared" si="25"/>
        <v>2023</v>
      </c>
      <c r="C106" s="102"/>
      <c r="D106" s="120" t="str">
        <f>MOD(MONTH(D104), 12)+1 &amp; "/10/" &amp; YEAR(D104)</f>
        <v>3/10/2023</v>
      </c>
      <c r="E106" s="121" t="str">
        <f>"Rent: "&amp;LOOKUP(A106-1, Months, TextMonths)&amp;" '"&amp;B106</f>
        <v>Rent: Mar '2023</v>
      </c>
      <c r="F106" s="36"/>
      <c r="G106" s="36">
        <v>1825</v>
      </c>
      <c r="H106" s="254">
        <f t="shared" si="26"/>
        <v>1825</v>
      </c>
    </row>
    <row r="107" spans="1:13" ht="12.75" customHeight="1" x14ac:dyDescent="0.2">
      <c r="A107" s="102">
        <f t="shared" si="24"/>
        <v>3</v>
      </c>
      <c r="B107" s="102">
        <f t="shared" si="25"/>
        <v>2023</v>
      </c>
      <c r="C107" s="102"/>
      <c r="D107" s="28">
        <v>44998</v>
      </c>
      <c r="E107" s="29" t="s">
        <v>51</v>
      </c>
      <c r="F107" s="36">
        <v>1825</v>
      </c>
      <c r="G107" s="36"/>
      <c r="H107" s="254">
        <f t="shared" si="26"/>
        <v>0</v>
      </c>
      <c r="I107" s="30"/>
    </row>
    <row r="108" spans="1:13" ht="12.75" customHeight="1" x14ac:dyDescent="0.2">
      <c r="A108" s="102">
        <f t="shared" si="24"/>
        <v>4</v>
      </c>
      <c r="B108" s="102">
        <f t="shared" si="25"/>
        <v>2023</v>
      </c>
      <c r="C108" s="102"/>
      <c r="D108" s="120" t="str">
        <f>MOD(MONTH(D106), 12)+1 &amp; "/10/" &amp; YEAR(D106)</f>
        <v>4/10/2023</v>
      </c>
      <c r="E108" s="121" t="str">
        <f>"Rent: "&amp;LOOKUP(A108-1, Months, TextMonths)&amp;" '"&amp;B108</f>
        <v>Rent: Apr '2023</v>
      </c>
      <c r="F108" s="36"/>
      <c r="G108" s="36">
        <v>1825</v>
      </c>
      <c r="H108" s="254">
        <f t="shared" si="26"/>
        <v>1825</v>
      </c>
    </row>
    <row r="109" spans="1:13" ht="14.25" customHeight="1" x14ac:dyDescent="0.2">
      <c r="A109" s="102">
        <f t="shared" si="24"/>
        <v>4</v>
      </c>
      <c r="B109" s="102">
        <f t="shared" si="25"/>
        <v>2023</v>
      </c>
      <c r="C109" s="102"/>
      <c r="D109" s="28">
        <v>45028</v>
      </c>
      <c r="E109" s="29" t="s">
        <v>51</v>
      </c>
      <c r="F109" s="36">
        <v>1825</v>
      </c>
      <c r="G109" s="36"/>
      <c r="H109" s="254">
        <f t="shared" si="26"/>
        <v>0</v>
      </c>
    </row>
    <row r="110" spans="1:13" ht="12.75" customHeight="1" x14ac:dyDescent="0.2">
      <c r="A110" s="102">
        <f t="shared" si="24"/>
        <v>5</v>
      </c>
      <c r="B110" s="102">
        <f t="shared" si="25"/>
        <v>2023</v>
      </c>
      <c r="C110" s="102"/>
      <c r="D110" s="120" t="str">
        <f>MOD(MONTH(D108), 12)+1 &amp; "/10/" &amp; YEAR(D108)</f>
        <v>5/10/2023</v>
      </c>
      <c r="E110" s="121" t="str">
        <f>"Rent: "&amp;LOOKUP(A110-1, Months, TextMonths)&amp;" '"&amp;B110</f>
        <v>Rent: May '2023</v>
      </c>
      <c r="F110" s="36"/>
      <c r="G110" s="36">
        <v>1825</v>
      </c>
      <c r="H110" s="254">
        <f t="shared" si="26"/>
        <v>1825</v>
      </c>
    </row>
    <row r="111" spans="1:13" ht="14.25" customHeight="1" x14ac:dyDescent="0.2">
      <c r="A111" s="102">
        <f t="shared" si="24"/>
        <v>5</v>
      </c>
      <c r="B111" s="102">
        <f t="shared" si="25"/>
        <v>2023</v>
      </c>
      <c r="C111" s="102"/>
      <c r="D111" s="28">
        <v>45057</v>
      </c>
      <c r="E111" s="29" t="s">
        <v>51</v>
      </c>
      <c r="F111" s="36">
        <v>1825</v>
      </c>
      <c r="G111" s="36"/>
      <c r="H111" s="254">
        <f t="shared" si="26"/>
        <v>0</v>
      </c>
    </row>
    <row r="112" spans="1:13" ht="12.75" customHeight="1" x14ac:dyDescent="0.2">
      <c r="A112" s="102">
        <f t="shared" si="24"/>
        <v>6</v>
      </c>
      <c r="B112" s="102">
        <f t="shared" si="25"/>
        <v>2023</v>
      </c>
      <c r="C112" s="102"/>
      <c r="D112" s="120" t="str">
        <f>MOD(MONTH(D110), 12)+1 &amp; "/10/" &amp; YEAR(D110)</f>
        <v>6/10/2023</v>
      </c>
      <c r="E112" s="121" t="str">
        <f>"Rent: "&amp;LOOKUP(A112-1, Months, TextMonths)&amp;" '"&amp;B112</f>
        <v>Rent: Jun '2023</v>
      </c>
      <c r="F112" s="36"/>
      <c r="G112" s="36">
        <v>1825</v>
      </c>
      <c r="H112" s="254">
        <f t="shared" si="26"/>
        <v>1825</v>
      </c>
    </row>
    <row r="113" spans="1:8" ht="14.25" customHeight="1" x14ac:dyDescent="0.2">
      <c r="A113" s="102">
        <f t="shared" si="24"/>
        <v>6</v>
      </c>
      <c r="B113" s="102">
        <f t="shared" si="25"/>
        <v>2023</v>
      </c>
      <c r="C113" s="102"/>
      <c r="D113" s="28">
        <v>45089</v>
      </c>
      <c r="E113" s="29" t="s">
        <v>51</v>
      </c>
      <c r="F113" s="36">
        <v>1825</v>
      </c>
      <c r="G113" s="36"/>
      <c r="H113" s="254">
        <f t="shared" si="26"/>
        <v>0</v>
      </c>
    </row>
    <row r="114" spans="1:8" ht="12.75" customHeight="1" x14ac:dyDescent="0.2">
      <c r="A114" s="102">
        <f t="shared" si="24"/>
        <v>7</v>
      </c>
      <c r="B114" s="102">
        <f t="shared" si="25"/>
        <v>2023</v>
      </c>
      <c r="C114" s="102"/>
      <c r="D114" s="120" t="str">
        <f>MOD(MONTH(D112), 12)+1 &amp; "/10/" &amp; YEAR(D112)</f>
        <v>7/10/2023</v>
      </c>
      <c r="E114" s="121" t="str">
        <f>"Rent: "&amp;LOOKUP(A114-1, Months, TextMonths)&amp;" '"&amp;B114</f>
        <v>Rent: Jul '2023</v>
      </c>
      <c r="F114" s="36"/>
      <c r="G114" s="36">
        <v>1825</v>
      </c>
      <c r="H114" s="254">
        <f t="shared" si="26"/>
        <v>1825</v>
      </c>
    </row>
    <row r="115" spans="1:8" ht="14.25" customHeight="1" x14ac:dyDescent="0.2">
      <c r="A115" s="102">
        <f t="shared" si="24"/>
        <v>7</v>
      </c>
      <c r="B115" s="102">
        <f t="shared" si="25"/>
        <v>2023</v>
      </c>
      <c r="C115" s="102"/>
      <c r="D115" s="28">
        <v>45119</v>
      </c>
      <c r="E115" s="29" t="s">
        <v>51</v>
      </c>
      <c r="F115" s="36">
        <v>1825</v>
      </c>
      <c r="G115" s="36"/>
      <c r="H115" s="254">
        <f t="shared" si="26"/>
        <v>0</v>
      </c>
    </row>
    <row r="116" spans="1:8" ht="12.75" customHeight="1" x14ac:dyDescent="0.2">
      <c r="A116" s="102">
        <f t="shared" si="24"/>
        <v>8</v>
      </c>
      <c r="B116" s="102">
        <f t="shared" si="25"/>
        <v>2023</v>
      </c>
      <c r="C116" s="102"/>
      <c r="D116" s="120" t="str">
        <f>MOD(MONTH(D114), 12)+1 &amp; "/10/" &amp; YEAR(D114)</f>
        <v>8/10/2023</v>
      </c>
      <c r="E116" s="121" t="str">
        <f>"Rent: "&amp;LOOKUP(A116-1, Months, TextMonths)&amp;" '"&amp;B116</f>
        <v>Rent: Aug '2023</v>
      </c>
      <c r="F116" s="36"/>
      <c r="G116" s="36">
        <v>1825</v>
      </c>
      <c r="H116" s="254">
        <f t="shared" si="26"/>
        <v>1825</v>
      </c>
    </row>
    <row r="117" spans="1:8" ht="14.25" customHeight="1" x14ac:dyDescent="0.2">
      <c r="A117" s="102">
        <f t="shared" si="24"/>
        <v>8</v>
      </c>
      <c r="B117" s="102">
        <f t="shared" si="25"/>
        <v>2023</v>
      </c>
      <c r="C117" s="102"/>
      <c r="D117" s="28">
        <v>45152</v>
      </c>
      <c r="E117" s="29" t="s">
        <v>51</v>
      </c>
      <c r="F117" s="36">
        <v>1523.14</v>
      </c>
      <c r="G117" s="36"/>
      <c r="H117" s="254">
        <f t="shared" si="26"/>
        <v>301.8599999999999</v>
      </c>
    </row>
    <row r="118" spans="1:8" ht="14.25" customHeight="1" x14ac:dyDescent="0.2">
      <c r="A118" s="102">
        <f t="shared" si="24"/>
        <v>8</v>
      </c>
      <c r="B118" s="102">
        <f t="shared" si="25"/>
        <v>2023</v>
      </c>
      <c r="C118" s="102"/>
      <c r="D118" s="28">
        <v>45152</v>
      </c>
      <c r="E118" s="29" t="s">
        <v>171</v>
      </c>
      <c r="F118" s="36">
        <v>301.86</v>
      </c>
      <c r="G118" s="36"/>
      <c r="H118" s="254">
        <f t="shared" si="26"/>
        <v>0</v>
      </c>
    </row>
    <row r="119" spans="1:8" ht="14.25" customHeight="1" x14ac:dyDescent="0.2">
      <c r="A119" s="102">
        <f t="shared" si="24"/>
        <v>9</v>
      </c>
      <c r="B119" s="102">
        <f t="shared" si="25"/>
        <v>2023</v>
      </c>
      <c r="C119" s="102"/>
      <c r="D119" s="120" t="str">
        <f>MOD(MONTH(D117), 12)+1 &amp; "/10/" &amp; YEAR(D117)</f>
        <v>9/10/2023</v>
      </c>
      <c r="E119" s="121" t="str">
        <f>"Rent: "&amp;LOOKUP(A119-1, Months, TextMonths)&amp;" '"&amp;B119</f>
        <v>Rent: Sep '2023</v>
      </c>
      <c r="F119" s="36"/>
      <c r="G119" s="36">
        <v>1825</v>
      </c>
      <c r="H119" s="254">
        <f t="shared" si="26"/>
        <v>1825</v>
      </c>
    </row>
    <row r="120" spans="1:8" ht="12.75" customHeight="1" x14ac:dyDescent="0.2">
      <c r="A120" s="102">
        <f t="shared" si="24"/>
        <v>9</v>
      </c>
      <c r="B120" s="102">
        <f t="shared" si="25"/>
        <v>2023</v>
      </c>
      <c r="C120" s="102"/>
      <c r="D120" s="28">
        <v>45181</v>
      </c>
      <c r="E120" s="29" t="s">
        <v>51</v>
      </c>
      <c r="F120" s="36">
        <v>1825</v>
      </c>
      <c r="G120" s="36"/>
      <c r="H120" s="254">
        <f t="shared" si="26"/>
        <v>0</v>
      </c>
    </row>
    <row r="121" spans="1:8" ht="14.25" customHeight="1" x14ac:dyDescent="0.2">
      <c r="A121" s="102">
        <f t="shared" ref="A121:A122" si="27">MONTH(D121)</f>
        <v>10</v>
      </c>
      <c r="B121" s="102">
        <f t="shared" ref="B121:B122" si="28">YEAR(D121)</f>
        <v>2023</v>
      </c>
      <c r="C121" s="102"/>
      <c r="D121" s="120" t="str">
        <f>MOD(MONTH(D119), 12)+1 &amp; "/10/" &amp; YEAR(D119)</f>
        <v>10/10/2023</v>
      </c>
      <c r="E121" s="121" t="str">
        <f>"Rent: "&amp;LOOKUP(A121-1, Months, TextMonths)&amp;" '"&amp;B121</f>
        <v>Rent: Oct '2023</v>
      </c>
      <c r="F121" s="36"/>
      <c r="G121" s="36">
        <v>1825</v>
      </c>
      <c r="H121" s="254">
        <f t="shared" ref="H121:H122" si="29">H120+G121-F121</f>
        <v>1825</v>
      </c>
    </row>
    <row r="122" spans="1:8" ht="12.75" customHeight="1" x14ac:dyDescent="0.2">
      <c r="A122" s="102">
        <f t="shared" si="27"/>
        <v>10</v>
      </c>
      <c r="B122" s="102">
        <f t="shared" si="28"/>
        <v>2023</v>
      </c>
      <c r="C122" s="102"/>
      <c r="D122" s="28">
        <v>45210</v>
      </c>
      <c r="E122" s="29" t="s">
        <v>51</v>
      </c>
      <c r="F122" s="36">
        <v>1825</v>
      </c>
      <c r="G122" s="36"/>
      <c r="H122" s="254">
        <f t="shared" si="29"/>
        <v>0</v>
      </c>
    </row>
    <row r="123" spans="1:8" ht="12.75" customHeight="1" x14ac:dyDescent="0.2">
      <c r="F123" s="36"/>
      <c r="G123" s="36"/>
      <c r="H123" s="36"/>
    </row>
    <row r="124" spans="1:8" ht="14.25" customHeight="1" x14ac:dyDescent="0.2">
      <c r="F124" s="36"/>
      <c r="G124" s="36"/>
      <c r="H124" s="36"/>
    </row>
    <row r="125" spans="1:8" ht="12.75" customHeight="1" x14ac:dyDescent="0.2">
      <c r="F125" s="36"/>
      <c r="G125" s="36"/>
      <c r="H125" s="36"/>
    </row>
    <row r="126" spans="1:8" ht="14.25" customHeight="1" x14ac:dyDescent="0.2">
      <c r="F126" s="36"/>
      <c r="G126" s="36"/>
      <c r="H126" s="36"/>
    </row>
    <row r="127" spans="1:8" ht="14.25" customHeight="1" x14ac:dyDescent="0.2">
      <c r="F127" s="36"/>
      <c r="G127" s="36"/>
      <c r="H127" s="36"/>
    </row>
    <row r="128" spans="1:8" ht="12.75" customHeight="1" x14ac:dyDescent="0.2">
      <c r="F128" s="36"/>
      <c r="G128" s="36"/>
      <c r="H128" s="36"/>
    </row>
    <row r="129" spans="6:9" ht="14.25" customHeight="1" x14ac:dyDescent="0.2">
      <c r="F129" s="36"/>
      <c r="G129" s="36"/>
      <c r="H129" s="36"/>
    </row>
    <row r="130" spans="6:9" ht="12.75" customHeight="1" x14ac:dyDescent="0.2">
      <c r="F130" s="36"/>
      <c r="G130" s="36"/>
      <c r="H130" s="36"/>
    </row>
    <row r="131" spans="6:9" ht="14.25" customHeight="1" x14ac:dyDescent="0.2">
      <c r="F131" s="36"/>
      <c r="G131" s="36"/>
      <c r="H131" s="36"/>
    </row>
    <row r="132" spans="6:9" ht="12.75" customHeight="1" x14ac:dyDescent="0.2">
      <c r="F132" s="36"/>
      <c r="G132" s="36"/>
      <c r="H132" s="36"/>
    </row>
    <row r="133" spans="6:9" ht="14.25" customHeight="1" x14ac:dyDescent="0.2">
      <c r="F133" s="36"/>
      <c r="G133" s="36"/>
      <c r="H133" s="36"/>
    </row>
    <row r="134" spans="6:9" ht="14.25" customHeight="1" x14ac:dyDescent="0.2">
      <c r="F134" s="36"/>
      <c r="G134" s="36"/>
      <c r="H134" s="36"/>
    </row>
    <row r="135" spans="6:9" ht="12.75" customHeight="1" x14ac:dyDescent="0.2">
      <c r="F135" s="36"/>
      <c r="G135" s="36"/>
      <c r="H135" s="36"/>
    </row>
    <row r="136" spans="6:9" ht="14.25" customHeight="1" x14ac:dyDescent="0.2">
      <c r="F136" s="36"/>
      <c r="G136" s="36"/>
      <c r="H136" s="36"/>
      <c r="I136" s="29"/>
    </row>
    <row r="137" spans="6:9" ht="12.75" customHeight="1" x14ac:dyDescent="0.2">
      <c r="F137" s="36"/>
      <c r="G137" s="36"/>
      <c r="H137" s="36"/>
    </row>
    <row r="138" spans="6:9" ht="14.25" customHeight="1" x14ac:dyDescent="0.2">
      <c r="F138" s="36"/>
      <c r="G138" s="36"/>
      <c r="H138" s="36"/>
      <c r="I138" s="29"/>
    </row>
    <row r="139" spans="6:9" ht="12.75" customHeight="1" x14ac:dyDescent="0.2">
      <c r="F139" s="36"/>
      <c r="G139" s="36"/>
      <c r="H139" s="36"/>
    </row>
    <row r="140" spans="6:9" ht="12.75" customHeight="1" x14ac:dyDescent="0.2">
      <c r="F140" s="36"/>
      <c r="G140" s="36"/>
      <c r="H140" s="36"/>
    </row>
    <row r="141" spans="6:9" ht="12.75" customHeight="1" x14ac:dyDescent="0.2">
      <c r="F141" s="36"/>
      <c r="G141" s="36"/>
      <c r="H141" s="36"/>
    </row>
    <row r="142" spans="6:9" ht="12.75" customHeight="1" x14ac:dyDescent="0.2">
      <c r="F142" s="36"/>
      <c r="G142" s="36"/>
      <c r="H142" s="36"/>
    </row>
    <row r="143" spans="6:9" ht="12.75" customHeight="1" x14ac:dyDescent="0.2">
      <c r="F143" s="36"/>
      <c r="G143" s="36"/>
      <c r="H143" s="36"/>
    </row>
    <row r="144" spans="6:9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/>
    <row r="937" spans="6:8" ht="12.75" customHeight="1" x14ac:dyDescent="0.2"/>
    <row r="938" spans="6:8" ht="12.75" customHeight="1" x14ac:dyDescent="0.2"/>
    <row r="939" spans="6:8" ht="12.75" customHeight="1" x14ac:dyDescent="0.2"/>
    <row r="940" spans="6:8" ht="12.75" customHeight="1" x14ac:dyDescent="0.2"/>
    <row r="941" spans="6:8" ht="12.75" customHeight="1" x14ac:dyDescent="0.2"/>
    <row r="942" spans="6:8" ht="12.75" customHeight="1" x14ac:dyDescent="0.2"/>
    <row r="943" spans="6:8" ht="12.75" customHeight="1" x14ac:dyDescent="0.2"/>
    <row r="944" spans="6:8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</sheetData>
  <dataValidations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workbookViewId="0">
      <pane xSplit="2" ySplit="4" topLeftCell="C5" activePane="bottomRight" state="frozen"/>
      <selection activeCell="I5" sqref="I5:L1048576"/>
      <selection pane="topRight" activeCell="I5" sqref="I5:L1048576"/>
      <selection pane="bottomLeft" activeCell="I5" sqref="I5:L1048576"/>
      <selection pane="bottomRight" activeCell="I3" sqref="I3"/>
    </sheetView>
  </sheetViews>
  <sheetFormatPr defaultColWidth="12.5703125" defaultRowHeight="15" customHeight="1" x14ac:dyDescent="0.2"/>
  <cols>
    <col min="1" max="1" width="13.425781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140625" customWidth="1"/>
    <col min="13" max="13" width="11.85546875" customWidth="1"/>
    <col min="14" max="14" width="15.5703125" customWidth="1"/>
    <col min="15" max="26" width="8.5703125" customWidth="1"/>
  </cols>
  <sheetData>
    <row r="1" spans="1:26" ht="12.75" customHeight="1" x14ac:dyDescent="0.2">
      <c r="C1" t="s">
        <v>127</v>
      </c>
      <c r="D1" s="163" t="s">
        <v>150</v>
      </c>
      <c r="E1" s="104"/>
      <c r="F1" s="104" t="s">
        <v>175</v>
      </c>
      <c r="G1" s="150" t="s">
        <v>123</v>
      </c>
      <c r="H1" s="34" t="s">
        <v>52</v>
      </c>
      <c r="I1" s="147"/>
      <c r="J1" s="104"/>
      <c r="K1" s="51"/>
      <c r="L1" s="51"/>
    </row>
    <row r="2" spans="1:26" ht="12.75" customHeight="1" x14ac:dyDescent="0.2">
      <c r="D2" t="s">
        <v>149</v>
      </c>
      <c r="E2" s="104"/>
      <c r="F2" s="36">
        <v>1925</v>
      </c>
      <c r="G2" s="151">
        <v>5</v>
      </c>
      <c r="H2" s="105">
        <v>25</v>
      </c>
      <c r="I2" s="153" t="s">
        <v>41</v>
      </c>
      <c r="J2" s="104"/>
      <c r="K2" s="51"/>
    </row>
    <row r="3" spans="1:26" ht="12.75" customHeight="1" x14ac:dyDescent="0.25">
      <c r="A3" s="30">
        <f>COUNTIF(A6:A65348, "&lt;&gt;")</f>
        <v>82</v>
      </c>
      <c r="D3" s="35">
        <f t="array" ref="D3">INDEX(D6:D65347, A3)</f>
        <v>45220</v>
      </c>
      <c r="E3" s="122"/>
      <c r="F3" s="105"/>
      <c r="G3" s="149" t="s">
        <v>40</v>
      </c>
      <c r="H3" s="152">
        <f t="array" ref="H3">INDEX(H6:H65344, A3)</f>
        <v>0</v>
      </c>
      <c r="I3" s="154">
        <v>45412</v>
      </c>
      <c r="J3" s="105"/>
      <c r="K3" s="67" t="s">
        <v>65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22"/>
      <c r="J4" s="122"/>
      <c r="K4" s="122"/>
      <c r="L4" s="122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t="s">
        <v>188</v>
      </c>
      <c r="B5" t="s">
        <v>191</v>
      </c>
      <c r="I5" s="122"/>
      <c r="J5" s="122"/>
      <c r="K5" s="122"/>
      <c r="L5" s="122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x14ac:dyDescent="0.2">
      <c r="A6" s="161" t="s">
        <v>179</v>
      </c>
      <c r="B6" s="162" t="s">
        <v>135</v>
      </c>
      <c r="E6" s="36"/>
      <c r="F6" s="36"/>
      <c r="G6" s="36"/>
      <c r="H6" s="36"/>
      <c r="I6" s="122"/>
      <c r="J6" s="122"/>
      <c r="K6" s="122"/>
      <c r="L6" s="122"/>
      <c r="M6" s="122"/>
    </row>
    <row r="7" spans="1:26" ht="12.75" customHeight="1" x14ac:dyDescent="0.25">
      <c r="A7" s="37">
        <f t="shared" ref="A7:A41" si="0">MONTH(D7)</f>
        <v>4</v>
      </c>
      <c r="B7" s="37">
        <f t="shared" ref="B7:B41" si="1">YEAR(D7)</f>
        <v>2021</v>
      </c>
      <c r="C7" s="37" t="str">
        <f t="shared" ref="C7:C41" si="2"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2"/>
      <c r="J7" s="122"/>
      <c r="K7" s="148"/>
      <c r="L7" s="104"/>
      <c r="M7" s="122"/>
      <c r="N7" s="15"/>
    </row>
    <row r="8" spans="1:26" ht="12.75" customHeight="1" x14ac:dyDescent="0.25">
      <c r="A8" s="37">
        <f t="shared" si="0"/>
        <v>4</v>
      </c>
      <c r="B8" s="37">
        <f t="shared" si="1"/>
        <v>2021</v>
      </c>
      <c r="C8" s="37" t="str">
        <f t="shared" si="2"/>
        <v/>
      </c>
      <c r="D8" s="28">
        <v>44312</v>
      </c>
      <c r="E8" s="70" t="s">
        <v>68</v>
      </c>
      <c r="F8" s="36"/>
      <c r="G8" s="36">
        <v>400</v>
      </c>
      <c r="H8" s="38">
        <f t="shared" ref="H8:H45" si="3">H7+G8-F8</f>
        <v>2250</v>
      </c>
      <c r="I8" s="122"/>
      <c r="J8" s="122"/>
      <c r="K8" s="148"/>
      <c r="L8" s="104"/>
      <c r="M8" s="148"/>
    </row>
    <row r="9" spans="1:26" ht="12.75" customHeight="1" x14ac:dyDescent="0.2">
      <c r="A9" s="37">
        <f t="shared" si="0"/>
        <v>4</v>
      </c>
      <c r="B9" s="37">
        <f t="shared" si="1"/>
        <v>2021</v>
      </c>
      <c r="C9" s="37" t="str">
        <f t="shared" si="2"/>
        <v>Income: 1</v>
      </c>
      <c r="D9" s="28">
        <v>44312</v>
      </c>
      <c r="E9" s="29" t="s">
        <v>82</v>
      </c>
      <c r="F9" s="36">
        <v>1000</v>
      </c>
      <c r="G9" s="36"/>
      <c r="H9" s="38">
        <f t="shared" si="3"/>
        <v>1250</v>
      </c>
      <c r="I9" s="122"/>
      <c r="J9" s="122"/>
      <c r="K9" s="148"/>
      <c r="L9" s="122"/>
      <c r="M9" s="148"/>
    </row>
    <row r="10" spans="1:26" ht="12.75" customHeight="1" x14ac:dyDescent="0.2">
      <c r="A10" s="37">
        <f t="shared" si="0"/>
        <v>5</v>
      </c>
      <c r="B10" s="37">
        <f t="shared" si="1"/>
        <v>2021</v>
      </c>
      <c r="C10" s="37" t="str">
        <f t="shared" si="2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3"/>
        <v>3100</v>
      </c>
      <c r="I10" s="159"/>
      <c r="J10" s="122"/>
      <c r="K10" s="148"/>
      <c r="L10" s="122"/>
      <c r="M10" s="122"/>
    </row>
    <row r="11" spans="1:26" ht="12.75" customHeight="1" x14ac:dyDescent="0.2">
      <c r="A11" s="37">
        <f t="shared" si="0"/>
        <v>4</v>
      </c>
      <c r="B11" s="37">
        <f t="shared" si="1"/>
        <v>2021</v>
      </c>
      <c r="C11" s="37" t="str">
        <f t="shared" si="2"/>
        <v>Income: 1</v>
      </c>
      <c r="D11" s="28">
        <v>44315</v>
      </c>
      <c r="E11" s="29" t="s">
        <v>69</v>
      </c>
      <c r="F11" s="36">
        <v>1500</v>
      </c>
      <c r="G11" s="36"/>
      <c r="H11" s="38">
        <f t="shared" si="3"/>
        <v>1600</v>
      </c>
      <c r="I11" s="122"/>
      <c r="J11" s="122"/>
      <c r="K11" s="148"/>
      <c r="L11" s="122"/>
      <c r="M11" s="148"/>
    </row>
    <row r="12" spans="1:26" ht="12.75" customHeight="1" x14ac:dyDescent="0.2">
      <c r="A12" s="37">
        <f t="shared" si="0"/>
        <v>4</v>
      </c>
      <c r="B12" s="37">
        <f t="shared" si="1"/>
        <v>2021</v>
      </c>
      <c r="C12" s="37" t="str">
        <f t="shared" si="2"/>
        <v>Income: 1</v>
      </c>
      <c r="D12" s="28">
        <v>44316</v>
      </c>
      <c r="E12" s="29" t="s">
        <v>69</v>
      </c>
      <c r="F12" s="36">
        <v>1600</v>
      </c>
      <c r="G12" s="36"/>
      <c r="H12" s="38">
        <f t="shared" si="3"/>
        <v>0</v>
      </c>
      <c r="I12" s="122"/>
      <c r="J12" s="122"/>
      <c r="K12" s="148"/>
      <c r="L12" s="122"/>
      <c r="M12" s="148"/>
    </row>
    <row r="13" spans="1:26" ht="12.75" customHeight="1" x14ac:dyDescent="0.25">
      <c r="A13" s="37">
        <f t="shared" si="0"/>
        <v>5</v>
      </c>
      <c r="B13" s="37">
        <f t="shared" si="1"/>
        <v>2021</v>
      </c>
      <c r="C13" s="37" t="str">
        <f t="shared" si="2"/>
        <v/>
      </c>
      <c r="D13" s="28">
        <v>44319</v>
      </c>
      <c r="E13" s="70" t="s">
        <v>105</v>
      </c>
      <c r="F13" s="36"/>
      <c r="G13" s="36">
        <v>300</v>
      </c>
      <c r="H13" s="38">
        <f t="shared" si="3"/>
        <v>300</v>
      </c>
      <c r="I13" s="122"/>
      <c r="J13" s="122"/>
      <c r="K13" s="148"/>
      <c r="L13" s="122"/>
      <c r="M13" s="148"/>
      <c r="N13" s="36"/>
    </row>
    <row r="14" spans="1:26" ht="12.75" customHeight="1" x14ac:dyDescent="0.2">
      <c r="A14" s="37">
        <f t="shared" si="0"/>
        <v>5</v>
      </c>
      <c r="B14" s="37">
        <f t="shared" si="1"/>
        <v>2021</v>
      </c>
      <c r="C14" s="37" t="str">
        <f t="shared" si="2"/>
        <v>Income: 1</v>
      </c>
      <c r="D14" s="28">
        <v>44321</v>
      </c>
      <c r="E14" s="29" t="s">
        <v>69</v>
      </c>
      <c r="F14" s="36">
        <v>300</v>
      </c>
      <c r="G14" s="36"/>
      <c r="H14" s="38">
        <f t="shared" si="3"/>
        <v>0</v>
      </c>
      <c r="I14" s="122"/>
      <c r="J14" s="122"/>
      <c r="K14" s="122"/>
      <c r="L14" s="104"/>
      <c r="M14" s="122"/>
    </row>
    <row r="15" spans="1:26" ht="12.75" customHeight="1" x14ac:dyDescent="0.2">
      <c r="A15" s="37">
        <f t="shared" si="0"/>
        <v>6</v>
      </c>
      <c r="B15" s="37">
        <f t="shared" si="1"/>
        <v>2021</v>
      </c>
      <c r="C15" s="37" t="str">
        <f t="shared" si="2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3"/>
        <v>1850</v>
      </c>
      <c r="I15" s="122"/>
      <c r="J15" s="122"/>
      <c r="K15" s="122"/>
      <c r="L15" s="122"/>
      <c r="M15" s="122"/>
    </row>
    <row r="16" spans="1:26" ht="12.75" customHeight="1" x14ac:dyDescent="0.2">
      <c r="A16" s="37">
        <f t="shared" si="0"/>
        <v>5</v>
      </c>
      <c r="B16" s="37">
        <f t="shared" si="1"/>
        <v>2021</v>
      </c>
      <c r="C16" s="37" t="str">
        <f t="shared" si="2"/>
        <v>Income: 1</v>
      </c>
      <c r="D16" s="28">
        <v>44344</v>
      </c>
      <c r="E16" s="29" t="s">
        <v>70</v>
      </c>
      <c r="F16" s="36">
        <v>1850</v>
      </c>
      <c r="G16" s="36"/>
      <c r="H16" s="38">
        <f t="shared" si="3"/>
        <v>0</v>
      </c>
      <c r="I16" s="159"/>
      <c r="J16" s="122"/>
      <c r="K16" s="122"/>
      <c r="L16" s="122"/>
      <c r="M16" s="122"/>
      <c r="N16" s="30"/>
    </row>
    <row r="17" spans="1:17" ht="12.75" customHeight="1" x14ac:dyDescent="0.2">
      <c r="A17" s="37">
        <f t="shared" si="0"/>
        <v>7</v>
      </c>
      <c r="B17" s="37">
        <f t="shared" si="1"/>
        <v>2021</v>
      </c>
      <c r="C17" s="37" t="str">
        <f t="shared" si="2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3"/>
        <v>1850</v>
      </c>
      <c r="I17" s="122"/>
      <c r="J17" s="122"/>
      <c r="K17" s="122"/>
      <c r="L17" s="122"/>
      <c r="M17" s="122"/>
      <c r="N17" s="30"/>
      <c r="O17" s="30"/>
      <c r="P17" s="30"/>
    </row>
    <row r="18" spans="1:17" ht="12.75" customHeight="1" x14ac:dyDescent="0.2">
      <c r="A18" s="37">
        <f t="shared" si="0"/>
        <v>6</v>
      </c>
      <c r="B18" s="37">
        <f t="shared" si="1"/>
        <v>2021</v>
      </c>
      <c r="C18" s="37" t="str">
        <f t="shared" si="2"/>
        <v>Income: 1</v>
      </c>
      <c r="D18" s="28">
        <v>44372</v>
      </c>
      <c r="E18" s="29" t="s">
        <v>70</v>
      </c>
      <c r="F18" s="36">
        <v>1850</v>
      </c>
      <c r="G18" s="36"/>
      <c r="H18" s="38">
        <f t="shared" si="3"/>
        <v>0</v>
      </c>
      <c r="I18" s="122"/>
      <c r="J18" s="122"/>
      <c r="K18" s="122"/>
      <c r="L18" s="122"/>
      <c r="M18" s="148"/>
      <c r="N18" s="28"/>
      <c r="O18" s="28"/>
      <c r="P18" s="99"/>
      <c r="Q18" s="30"/>
    </row>
    <row r="19" spans="1:17" ht="12.75" customHeight="1" x14ac:dyDescent="0.2">
      <c r="A19" s="37">
        <f t="shared" si="0"/>
        <v>8</v>
      </c>
      <c r="B19" s="37">
        <f t="shared" si="1"/>
        <v>2021</v>
      </c>
      <c r="C19" s="37" t="str">
        <f t="shared" si="2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3"/>
        <v>1850</v>
      </c>
      <c r="I19" s="159"/>
      <c r="J19" s="122"/>
      <c r="K19" s="122"/>
      <c r="L19" s="122"/>
      <c r="M19" s="159"/>
      <c r="N19" s="28"/>
      <c r="O19" s="30"/>
      <c r="P19" s="15"/>
      <c r="Q19" s="100"/>
    </row>
    <row r="20" spans="1:17" ht="12.75" customHeight="1" x14ac:dyDescent="0.2">
      <c r="A20" s="37">
        <f t="shared" si="0"/>
        <v>7</v>
      </c>
      <c r="B20" s="37">
        <f t="shared" si="1"/>
        <v>2021</v>
      </c>
      <c r="C20" s="37" t="str">
        <f t="shared" si="2"/>
        <v>Income: 1</v>
      </c>
      <c r="D20" s="28">
        <v>44407</v>
      </c>
      <c r="E20" s="29" t="s">
        <v>70</v>
      </c>
      <c r="F20" s="36">
        <v>1850</v>
      </c>
      <c r="G20" s="36"/>
      <c r="H20" s="38">
        <f t="shared" si="3"/>
        <v>0</v>
      </c>
      <c r="I20" s="122"/>
      <c r="J20" s="122"/>
      <c r="K20" s="122"/>
      <c r="L20" s="122"/>
      <c r="M20" s="159"/>
      <c r="N20" s="28"/>
      <c r="O20" s="28"/>
      <c r="P20" s="30"/>
    </row>
    <row r="21" spans="1:17" ht="12.75" customHeight="1" x14ac:dyDescent="0.2">
      <c r="A21" s="37">
        <f t="shared" si="0"/>
        <v>9</v>
      </c>
      <c r="B21" s="37">
        <f t="shared" si="1"/>
        <v>2021</v>
      </c>
      <c r="C21" s="37" t="str">
        <f t="shared" si="2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3"/>
        <v>1850</v>
      </c>
      <c r="I21" s="122"/>
      <c r="J21" s="122"/>
      <c r="K21" s="122"/>
      <c r="L21" s="122"/>
      <c r="M21" s="159"/>
      <c r="N21" s="28"/>
      <c r="O21" s="30"/>
      <c r="P21" s="30"/>
      <c r="Q21" s="30"/>
    </row>
    <row r="22" spans="1:17" ht="12.75" customHeight="1" x14ac:dyDescent="0.2">
      <c r="A22" s="37">
        <f t="shared" si="0"/>
        <v>9</v>
      </c>
      <c r="B22" s="37">
        <f t="shared" si="1"/>
        <v>2021</v>
      </c>
      <c r="C22" s="37" t="str">
        <f t="shared" si="2"/>
        <v>Income: 1</v>
      </c>
      <c r="D22" s="28">
        <v>44440</v>
      </c>
      <c r="E22" s="29" t="s">
        <v>70</v>
      </c>
      <c r="F22" s="36">
        <v>1850</v>
      </c>
      <c r="G22" s="36"/>
      <c r="H22" s="38">
        <f t="shared" si="3"/>
        <v>0</v>
      </c>
      <c r="I22" s="122"/>
      <c r="J22" s="122"/>
      <c r="K22" s="122"/>
      <c r="L22" s="122"/>
      <c r="M22" s="159"/>
      <c r="N22" s="28"/>
      <c r="O22" s="28"/>
      <c r="P22" s="30"/>
    </row>
    <row r="23" spans="1:17" ht="12.75" customHeight="1" x14ac:dyDescent="0.2">
      <c r="A23" s="37">
        <f t="shared" si="0"/>
        <v>10</v>
      </c>
      <c r="B23" s="37">
        <f t="shared" si="1"/>
        <v>2021</v>
      </c>
      <c r="C23" s="37" t="str">
        <f t="shared" si="2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3"/>
        <v>1850</v>
      </c>
      <c r="I23" s="122"/>
      <c r="J23" s="122"/>
      <c r="K23" s="122"/>
      <c r="L23" s="122"/>
      <c r="M23" s="159"/>
      <c r="N23" s="28"/>
      <c r="O23" s="30"/>
      <c r="P23" s="30"/>
    </row>
    <row r="24" spans="1:17" ht="12.75" customHeight="1" x14ac:dyDescent="0.2">
      <c r="A24" s="37">
        <f t="shared" si="0"/>
        <v>10</v>
      </c>
      <c r="B24" s="37">
        <f t="shared" si="1"/>
        <v>2021</v>
      </c>
      <c r="C24" s="37" t="str">
        <f t="shared" si="2"/>
        <v>Income: 1</v>
      </c>
      <c r="D24" s="28">
        <v>44470</v>
      </c>
      <c r="E24" s="29" t="s">
        <v>70</v>
      </c>
      <c r="F24" s="36">
        <v>1850</v>
      </c>
      <c r="G24" s="36"/>
      <c r="H24" s="38">
        <f t="shared" si="3"/>
        <v>0</v>
      </c>
      <c r="I24" s="122"/>
      <c r="J24" s="122"/>
      <c r="K24" s="122"/>
      <c r="L24" s="122"/>
      <c r="M24" s="159"/>
      <c r="N24" s="28"/>
      <c r="O24" s="28"/>
      <c r="P24" s="30"/>
    </row>
    <row r="25" spans="1:17" ht="12.75" customHeight="1" x14ac:dyDescent="0.2">
      <c r="A25" s="37">
        <f t="shared" si="0"/>
        <v>11</v>
      </c>
      <c r="B25" s="37">
        <f t="shared" si="1"/>
        <v>2021</v>
      </c>
      <c r="C25" s="37" t="str">
        <f t="shared" si="2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3"/>
        <v>1850</v>
      </c>
      <c r="I25" s="122"/>
      <c r="J25" s="122"/>
      <c r="K25" s="122"/>
      <c r="L25" s="122"/>
      <c r="M25" s="159"/>
      <c r="N25" s="28"/>
      <c r="O25" s="30"/>
      <c r="P25" s="30"/>
    </row>
    <row r="26" spans="1:17" ht="12.75" customHeight="1" x14ac:dyDescent="0.2">
      <c r="A26" s="37">
        <f t="shared" si="0"/>
        <v>11</v>
      </c>
      <c r="B26" s="37">
        <f t="shared" si="1"/>
        <v>2021</v>
      </c>
      <c r="C26" s="37" t="str">
        <f t="shared" si="2"/>
        <v>Income: 1</v>
      </c>
      <c r="D26" s="28">
        <v>44501</v>
      </c>
      <c r="E26" s="29" t="s">
        <v>70</v>
      </c>
      <c r="F26" s="36">
        <v>1850</v>
      </c>
      <c r="G26" s="36"/>
      <c r="H26" s="38">
        <f t="shared" si="3"/>
        <v>0</v>
      </c>
      <c r="I26" s="122"/>
      <c r="J26" s="159"/>
      <c r="K26" s="122"/>
      <c r="L26" s="122"/>
      <c r="M26" s="159"/>
      <c r="N26" s="28"/>
      <c r="O26" s="30"/>
      <c r="P26" s="30"/>
    </row>
    <row r="27" spans="1:17" ht="12.75" customHeight="1" x14ac:dyDescent="0.2">
      <c r="A27" s="37">
        <f t="shared" si="0"/>
        <v>12</v>
      </c>
      <c r="B27" s="37">
        <f t="shared" si="1"/>
        <v>2021</v>
      </c>
      <c r="C27" s="37" t="str">
        <f t="shared" si="2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3"/>
        <v>1850</v>
      </c>
      <c r="I27" s="122"/>
      <c r="J27" s="159"/>
      <c r="K27" s="122"/>
      <c r="L27" s="122"/>
      <c r="M27" s="159"/>
      <c r="N27" s="28"/>
      <c r="O27" s="30"/>
      <c r="P27" s="30"/>
    </row>
    <row r="28" spans="1:17" ht="12.75" customHeight="1" x14ac:dyDescent="0.2">
      <c r="A28" s="37">
        <f t="shared" si="0"/>
        <v>12</v>
      </c>
      <c r="B28" s="37">
        <f t="shared" si="1"/>
        <v>2021</v>
      </c>
      <c r="C28" s="37" t="str">
        <f t="shared" si="2"/>
        <v>Income: 1</v>
      </c>
      <c r="D28" s="28">
        <v>44531</v>
      </c>
      <c r="E28" s="29" t="s">
        <v>70</v>
      </c>
      <c r="F28" s="36">
        <v>1850</v>
      </c>
      <c r="G28" s="36"/>
      <c r="H28" s="38">
        <f t="shared" si="3"/>
        <v>0</v>
      </c>
      <c r="I28" s="122"/>
      <c r="J28" s="122"/>
      <c r="K28" s="122"/>
      <c r="L28" s="122"/>
      <c r="M28" s="159"/>
      <c r="N28" s="28"/>
      <c r="O28" s="30"/>
      <c r="P28" s="30"/>
    </row>
    <row r="29" spans="1:17" ht="12.75" customHeight="1" x14ac:dyDescent="0.2">
      <c r="A29" s="37">
        <f t="shared" si="0"/>
        <v>1</v>
      </c>
      <c r="B29" s="37">
        <f t="shared" si="1"/>
        <v>2022</v>
      </c>
      <c r="C29" s="37" t="str">
        <f t="shared" si="2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3"/>
        <v>1850</v>
      </c>
      <c r="I29" s="122"/>
      <c r="J29" s="122"/>
      <c r="K29" s="122"/>
      <c r="L29" s="122"/>
      <c r="M29" s="159"/>
      <c r="N29" s="28"/>
      <c r="O29" s="30"/>
      <c r="P29" s="30"/>
      <c r="Q29" s="30"/>
    </row>
    <row r="30" spans="1:17" ht="12.75" customHeight="1" x14ac:dyDescent="0.2">
      <c r="A30" s="37">
        <f t="shared" si="0"/>
        <v>1</v>
      </c>
      <c r="B30" s="37">
        <f t="shared" si="1"/>
        <v>2022</v>
      </c>
      <c r="C30" s="37" t="str">
        <f t="shared" si="2"/>
        <v>Income: 1</v>
      </c>
      <c r="D30" s="28">
        <v>44564</v>
      </c>
      <c r="E30" s="29" t="s">
        <v>70</v>
      </c>
      <c r="F30" s="36">
        <v>1850</v>
      </c>
      <c r="G30" s="36"/>
      <c r="H30" s="38">
        <f t="shared" si="3"/>
        <v>0</v>
      </c>
      <c r="I30" s="122"/>
      <c r="J30" s="122"/>
      <c r="K30" s="122"/>
      <c r="L30" s="122"/>
      <c r="M30" s="159"/>
      <c r="N30" s="28"/>
      <c r="O30" s="30"/>
      <c r="P30" s="30"/>
    </row>
    <row r="31" spans="1:17" ht="12.75" customHeight="1" x14ac:dyDescent="0.2">
      <c r="A31" s="37">
        <f t="shared" si="0"/>
        <v>2</v>
      </c>
      <c r="B31" s="37">
        <f t="shared" si="1"/>
        <v>2022</v>
      </c>
      <c r="C31" s="37" t="str">
        <f t="shared" si="2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3"/>
        <v>1850</v>
      </c>
      <c r="I31" s="122"/>
      <c r="J31" s="122"/>
      <c r="K31" s="122"/>
      <c r="L31" s="122"/>
      <c r="M31" s="159"/>
      <c r="N31" s="28"/>
      <c r="O31" s="30"/>
      <c r="P31" s="30"/>
      <c r="Q31" s="30"/>
    </row>
    <row r="32" spans="1:17" ht="12.75" customHeight="1" x14ac:dyDescent="0.2">
      <c r="A32" s="37">
        <f t="shared" si="0"/>
        <v>2</v>
      </c>
      <c r="B32" s="37">
        <f t="shared" si="1"/>
        <v>2022</v>
      </c>
      <c r="C32" s="37" t="str">
        <f t="shared" si="2"/>
        <v>Income: 1</v>
      </c>
      <c r="D32" s="28">
        <v>44593</v>
      </c>
      <c r="E32" s="29" t="s">
        <v>70</v>
      </c>
      <c r="F32" s="36">
        <v>1850</v>
      </c>
      <c r="G32" s="36"/>
      <c r="H32" s="38">
        <f t="shared" si="3"/>
        <v>0</v>
      </c>
      <c r="I32" s="104"/>
      <c r="J32" s="159"/>
      <c r="K32" s="122"/>
      <c r="L32" s="122"/>
      <c r="M32" s="159"/>
      <c r="N32" s="28"/>
      <c r="O32" s="30"/>
      <c r="P32" s="30"/>
    </row>
    <row r="33" spans="1:18" ht="12.75" customHeight="1" x14ac:dyDescent="0.2">
      <c r="A33" s="37">
        <f t="shared" si="0"/>
        <v>3</v>
      </c>
      <c r="B33" s="37">
        <f t="shared" si="1"/>
        <v>2022</v>
      </c>
      <c r="C33" s="37" t="str">
        <f t="shared" si="2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3"/>
        <v>1850</v>
      </c>
      <c r="I33" s="167"/>
      <c r="J33" s="148"/>
      <c r="K33" s="104"/>
      <c r="L33" s="122"/>
      <c r="M33" s="159"/>
      <c r="N33" s="28"/>
      <c r="O33" s="30"/>
      <c r="P33" s="30"/>
      <c r="Q33" s="30"/>
      <c r="R33" s="30"/>
    </row>
    <row r="34" spans="1:18" ht="12.75" customHeight="1" x14ac:dyDescent="0.2">
      <c r="A34" s="37">
        <f t="shared" si="0"/>
        <v>3</v>
      </c>
      <c r="B34" s="37">
        <f t="shared" si="1"/>
        <v>2022</v>
      </c>
      <c r="C34" s="37" t="str">
        <f t="shared" si="2"/>
        <v>Income: 1</v>
      </c>
      <c r="D34" s="28">
        <v>44622</v>
      </c>
      <c r="E34" s="29" t="s">
        <v>70</v>
      </c>
      <c r="F34" s="36">
        <v>1850</v>
      </c>
      <c r="G34" s="36"/>
      <c r="H34" s="38">
        <f t="shared" si="3"/>
        <v>0</v>
      </c>
      <c r="I34" s="122"/>
      <c r="J34" s="122"/>
      <c r="K34" s="122"/>
      <c r="L34" s="122"/>
      <c r="M34" s="159"/>
      <c r="O34" s="30"/>
      <c r="P34" s="30"/>
    </row>
    <row r="35" spans="1:18" ht="12.75" customHeight="1" x14ac:dyDescent="0.2">
      <c r="A35" s="37">
        <f t="shared" si="0"/>
        <v>4</v>
      </c>
      <c r="B35" s="37">
        <f t="shared" si="1"/>
        <v>2022</v>
      </c>
      <c r="C35" s="37" t="str">
        <f t="shared" si="2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3"/>
        <v>1850</v>
      </c>
      <c r="I35" s="104"/>
      <c r="J35" s="122"/>
      <c r="K35" s="122"/>
      <c r="L35" s="122"/>
      <c r="M35" s="159"/>
      <c r="O35" s="30"/>
      <c r="P35" s="30"/>
      <c r="Q35" s="30"/>
    </row>
    <row r="36" spans="1:18" ht="12.75" customHeight="1" x14ac:dyDescent="0.2">
      <c r="A36" s="37">
        <f t="shared" si="0"/>
        <v>4</v>
      </c>
      <c r="B36" s="37">
        <f t="shared" si="1"/>
        <v>2022</v>
      </c>
      <c r="C36" s="37" t="str">
        <f t="shared" si="2"/>
        <v>Income: 1</v>
      </c>
      <c r="D36" s="28">
        <v>44652</v>
      </c>
      <c r="E36" s="29" t="s">
        <v>70</v>
      </c>
      <c r="F36" s="36">
        <v>1850</v>
      </c>
      <c r="G36" s="36"/>
      <c r="H36" s="38">
        <f t="shared" si="3"/>
        <v>0</v>
      </c>
      <c r="I36" s="148"/>
      <c r="J36" s="148"/>
      <c r="K36" s="104"/>
      <c r="L36" s="122"/>
      <c r="M36" s="159"/>
      <c r="O36" s="30"/>
      <c r="P36" s="30"/>
    </row>
    <row r="37" spans="1:18" ht="12.75" customHeight="1" x14ac:dyDescent="0.2">
      <c r="A37" s="37">
        <f t="shared" si="0"/>
        <v>5</v>
      </c>
      <c r="B37" s="37">
        <f t="shared" si="1"/>
        <v>2022</v>
      </c>
      <c r="C37" s="37" t="str">
        <f t="shared" si="2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3"/>
        <v>1925</v>
      </c>
      <c r="I37" s="104"/>
      <c r="J37" s="159"/>
      <c r="K37" s="159"/>
      <c r="L37" s="122"/>
      <c r="M37" s="159"/>
      <c r="O37" s="30"/>
      <c r="P37" s="30"/>
      <c r="Q37" s="30"/>
    </row>
    <row r="38" spans="1:18" ht="12.75" customHeight="1" x14ac:dyDescent="0.2">
      <c r="A38" s="37">
        <f t="shared" si="0"/>
        <v>5</v>
      </c>
      <c r="B38" s="37">
        <f t="shared" si="1"/>
        <v>2022</v>
      </c>
      <c r="C38" s="37" t="str">
        <f t="shared" si="2"/>
        <v>Income: 1</v>
      </c>
      <c r="D38" s="28">
        <v>44683</v>
      </c>
      <c r="E38" s="29" t="s">
        <v>70</v>
      </c>
      <c r="F38" s="36">
        <v>962</v>
      </c>
      <c r="G38" s="36"/>
      <c r="H38" s="38">
        <f t="shared" si="3"/>
        <v>963</v>
      </c>
      <c r="I38" s="148"/>
      <c r="J38" s="148"/>
      <c r="K38" s="148"/>
      <c r="L38" s="122"/>
      <c r="M38" s="159"/>
      <c r="O38" s="30"/>
      <c r="P38" s="30"/>
    </row>
    <row r="39" spans="1:18" ht="12.75" customHeight="1" x14ac:dyDescent="0.2">
      <c r="A39" s="37">
        <f t="shared" si="0"/>
        <v>5</v>
      </c>
      <c r="B39" s="37">
        <f t="shared" si="1"/>
        <v>2022</v>
      </c>
      <c r="C39" s="37" t="str">
        <f t="shared" si="2"/>
        <v>Income: 1</v>
      </c>
      <c r="D39" s="28">
        <v>44683</v>
      </c>
      <c r="E39" s="29" t="s">
        <v>70</v>
      </c>
      <c r="F39" s="36">
        <v>963</v>
      </c>
      <c r="G39" s="36"/>
      <c r="H39" s="38">
        <f t="shared" si="3"/>
        <v>0</v>
      </c>
      <c r="I39" s="122"/>
      <c r="J39" s="122"/>
      <c r="K39" s="122"/>
      <c r="L39" s="122"/>
      <c r="M39" s="159"/>
      <c r="O39" s="30"/>
      <c r="P39" s="30"/>
      <c r="Q39" s="30"/>
    </row>
    <row r="40" spans="1:18" ht="12.75" customHeight="1" x14ac:dyDescent="0.2">
      <c r="A40" s="37">
        <f t="shared" si="0"/>
        <v>6</v>
      </c>
      <c r="B40" s="37">
        <f t="shared" si="1"/>
        <v>2022</v>
      </c>
      <c r="C40" s="37" t="str">
        <f t="shared" si="2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3"/>
        <v>1925</v>
      </c>
      <c r="I40" s="122"/>
      <c r="J40" s="122"/>
      <c r="K40" s="122"/>
      <c r="L40" s="122"/>
      <c r="M40" s="159"/>
      <c r="O40" s="101"/>
      <c r="P40" s="30"/>
    </row>
    <row r="41" spans="1:18" ht="12.75" customHeight="1" x14ac:dyDescent="0.2">
      <c r="A41" s="37">
        <f t="shared" si="0"/>
        <v>6</v>
      </c>
      <c r="B41" s="37">
        <f t="shared" si="1"/>
        <v>2022</v>
      </c>
      <c r="C41" s="37" t="str">
        <f t="shared" si="2"/>
        <v>Income: 1</v>
      </c>
      <c r="D41" s="28">
        <v>44714</v>
      </c>
      <c r="E41" s="29" t="s">
        <v>70</v>
      </c>
      <c r="F41" s="36">
        <v>1925</v>
      </c>
      <c r="G41" s="36"/>
      <c r="H41" s="38">
        <f t="shared" si="3"/>
        <v>0</v>
      </c>
      <c r="I41" s="122"/>
      <c r="J41" s="122"/>
      <c r="K41" s="122"/>
      <c r="L41" s="122"/>
      <c r="M41" s="159"/>
      <c r="O41" s="101"/>
      <c r="P41" s="30"/>
      <c r="Q41" s="30"/>
    </row>
    <row r="42" spans="1:18" ht="12.75" customHeight="1" x14ac:dyDescent="0.2">
      <c r="A42" s="37">
        <f t="shared" ref="A42:A45" si="4">MONTH(D42)</f>
        <v>7</v>
      </c>
      <c r="B42" s="37">
        <f t="shared" ref="B42:B45" si="5">YEAR(D42)</f>
        <v>2022</v>
      </c>
      <c r="C42" s="37" t="str">
        <f t="shared" ref="C42:C45" si="6"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3"/>
        <v>1925</v>
      </c>
      <c r="I42" s="122"/>
      <c r="J42" s="122"/>
      <c r="K42" s="122"/>
      <c r="L42" s="122"/>
      <c r="M42" s="159"/>
      <c r="O42" s="30"/>
      <c r="P42" s="30"/>
    </row>
    <row r="43" spans="1:18" ht="12.75" customHeight="1" x14ac:dyDescent="0.2">
      <c r="A43" s="37">
        <f t="shared" si="4"/>
        <v>7</v>
      </c>
      <c r="B43" s="37">
        <f t="shared" si="5"/>
        <v>2022</v>
      </c>
      <c r="C43" s="37" t="str">
        <f t="shared" si="6"/>
        <v>Income: 1</v>
      </c>
      <c r="D43" s="28">
        <v>44747</v>
      </c>
      <c r="E43" s="29" t="s">
        <v>70</v>
      </c>
      <c r="F43" s="36">
        <v>1925</v>
      </c>
      <c r="G43" s="36"/>
      <c r="H43" s="38">
        <f t="shared" si="3"/>
        <v>0</v>
      </c>
      <c r="I43" s="122"/>
      <c r="J43" s="122"/>
      <c r="K43" s="122"/>
      <c r="L43" s="122"/>
      <c r="M43" s="159"/>
      <c r="O43" s="30"/>
      <c r="P43" s="30"/>
      <c r="Q43" s="30"/>
    </row>
    <row r="44" spans="1:18" ht="12.75" customHeight="1" x14ac:dyDescent="0.2">
      <c r="A44" s="37">
        <f t="shared" si="4"/>
        <v>8</v>
      </c>
      <c r="B44" s="37">
        <f t="shared" si="5"/>
        <v>2022</v>
      </c>
      <c r="C44" s="37" t="str">
        <f t="shared" si="6"/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3"/>
        <v>1925</v>
      </c>
      <c r="I44" s="122"/>
      <c r="J44" s="122"/>
      <c r="K44" s="122"/>
      <c r="L44" s="122"/>
      <c r="M44" s="159"/>
      <c r="O44" s="30"/>
      <c r="P44" s="30"/>
    </row>
    <row r="45" spans="1:18" ht="12.75" customHeight="1" x14ac:dyDescent="0.2">
      <c r="A45" s="37">
        <f t="shared" si="4"/>
        <v>8</v>
      </c>
      <c r="B45" s="37">
        <f t="shared" si="5"/>
        <v>2022</v>
      </c>
      <c r="C45" s="37" t="str">
        <f t="shared" si="6"/>
        <v>Income: 1</v>
      </c>
      <c r="D45" s="28">
        <v>44775</v>
      </c>
      <c r="E45" s="29" t="s">
        <v>70</v>
      </c>
      <c r="F45" s="36">
        <v>1925</v>
      </c>
      <c r="G45" s="36"/>
      <c r="H45" s="38">
        <f t="shared" si="3"/>
        <v>0</v>
      </c>
      <c r="I45" s="122"/>
      <c r="J45" s="122"/>
      <c r="K45" s="122"/>
      <c r="L45" s="122"/>
      <c r="M45" s="159"/>
      <c r="O45" s="30"/>
      <c r="P45" s="30"/>
      <c r="Q45" s="30"/>
    </row>
    <row r="46" spans="1:18" ht="12.75" customHeight="1" x14ac:dyDescent="0.2">
      <c r="A46" s="37">
        <f t="shared" ref="A46:A51" si="7">MONTH(D46)</f>
        <v>9</v>
      </c>
      <c r="B46" s="37">
        <f t="shared" ref="B46:B51" si="8">YEAR(D46)</f>
        <v>2022</v>
      </c>
      <c r="C46" s="37" t="str">
        <f t="shared" ref="C46:C51" si="9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10">H45+G46-F46</f>
        <v>1925</v>
      </c>
      <c r="I46" s="122"/>
      <c r="J46" s="122"/>
      <c r="K46" s="122"/>
      <c r="L46" s="122"/>
      <c r="M46" s="159"/>
      <c r="O46" s="30"/>
      <c r="P46" s="30"/>
    </row>
    <row r="47" spans="1:18" ht="12.75" customHeight="1" x14ac:dyDescent="0.2">
      <c r="A47" s="37">
        <f t="shared" si="7"/>
        <v>9</v>
      </c>
      <c r="B47" s="37">
        <f t="shared" si="8"/>
        <v>2022</v>
      </c>
      <c r="C47" s="37" t="str">
        <f t="shared" si="9"/>
        <v>Income: 1</v>
      </c>
      <c r="D47" s="28">
        <v>44806</v>
      </c>
      <c r="E47" s="29" t="s">
        <v>70</v>
      </c>
      <c r="F47" s="36">
        <v>1950</v>
      </c>
      <c r="G47" s="36"/>
      <c r="H47" s="38">
        <f t="shared" si="10"/>
        <v>-25</v>
      </c>
      <c r="I47" s="122"/>
      <c r="J47" s="122"/>
      <c r="K47" s="122"/>
      <c r="L47" s="122"/>
      <c r="M47" s="159"/>
      <c r="O47" s="30"/>
      <c r="P47" s="30"/>
      <c r="Q47" s="30"/>
    </row>
    <row r="48" spans="1:18" ht="12.75" customHeight="1" x14ac:dyDescent="0.2">
      <c r="A48" s="37">
        <f t="shared" ref="A48" si="11">MONTH(D48)</f>
        <v>10</v>
      </c>
      <c r="B48" s="37">
        <f t="shared" ref="B48" si="12">YEAR(D48)</f>
        <v>2022</v>
      </c>
      <c r="C48" s="37" t="str">
        <f t="shared" ref="C48" si="13"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10"/>
        <v>1900</v>
      </c>
      <c r="I48" s="122"/>
      <c r="J48" s="122"/>
      <c r="K48" s="122"/>
      <c r="L48" s="122"/>
      <c r="M48" s="159"/>
      <c r="O48" s="30"/>
      <c r="P48" s="30"/>
    </row>
    <row r="49" spans="1:17" ht="12.75" customHeight="1" x14ac:dyDescent="0.2">
      <c r="A49" s="102">
        <f t="shared" si="7"/>
        <v>8</v>
      </c>
      <c r="B49" s="102">
        <f t="shared" si="8"/>
        <v>2022</v>
      </c>
      <c r="C49" s="102" t="str">
        <f t="shared" si="9"/>
        <v/>
      </c>
      <c r="D49" s="142">
        <v>44788</v>
      </c>
      <c r="E49" s="121" t="s">
        <v>119</v>
      </c>
      <c r="F49" s="36"/>
      <c r="G49" s="36">
        <v>25</v>
      </c>
      <c r="H49" s="38">
        <f t="shared" si="10"/>
        <v>1925</v>
      </c>
      <c r="I49" s="122"/>
      <c r="J49" s="122"/>
      <c r="K49" s="122"/>
      <c r="L49" s="122"/>
      <c r="M49" s="159"/>
      <c r="O49" s="30"/>
      <c r="P49" s="30"/>
      <c r="Q49" s="30"/>
    </row>
    <row r="50" spans="1:17" ht="12.75" customHeight="1" x14ac:dyDescent="0.2">
      <c r="A50" s="102">
        <f t="shared" si="7"/>
        <v>9</v>
      </c>
      <c r="B50" s="102">
        <f t="shared" si="8"/>
        <v>2022</v>
      </c>
      <c r="C50" s="102" t="str">
        <f t="shared" si="9"/>
        <v/>
      </c>
      <c r="D50" s="142">
        <v>44813</v>
      </c>
      <c r="E50" s="121" t="s">
        <v>119</v>
      </c>
      <c r="F50" s="36"/>
      <c r="G50" s="36">
        <v>75</v>
      </c>
      <c r="H50" s="38">
        <f t="shared" si="10"/>
        <v>2000</v>
      </c>
      <c r="I50" s="122"/>
      <c r="J50" s="122"/>
      <c r="K50" s="122"/>
      <c r="L50" s="122"/>
      <c r="M50" s="159"/>
      <c r="O50" s="30"/>
      <c r="P50" s="30"/>
    </row>
    <row r="51" spans="1:17" ht="12.75" customHeight="1" x14ac:dyDescent="0.2">
      <c r="A51" s="102">
        <f t="shared" si="7"/>
        <v>9</v>
      </c>
      <c r="B51" s="102">
        <f t="shared" si="8"/>
        <v>2022</v>
      </c>
      <c r="C51" s="102" t="str">
        <f t="shared" si="9"/>
        <v/>
      </c>
      <c r="D51" s="142">
        <v>44813</v>
      </c>
      <c r="E51" s="121" t="s">
        <v>120</v>
      </c>
      <c r="F51" s="36"/>
      <c r="G51" s="36">
        <v>25</v>
      </c>
      <c r="H51" s="38">
        <f t="shared" si="10"/>
        <v>2025</v>
      </c>
      <c r="I51" s="159"/>
      <c r="J51" s="122"/>
      <c r="K51" s="122"/>
      <c r="L51" s="122"/>
      <c r="M51" s="159"/>
      <c r="O51" s="29"/>
      <c r="P51" s="30"/>
      <c r="Q51" s="30"/>
    </row>
    <row r="52" spans="1:17" ht="12.75" customHeight="1" x14ac:dyDescent="0.2">
      <c r="A52" s="102">
        <f t="shared" ref="A52" si="14">MONTH(D52)</f>
        <v>10</v>
      </c>
      <c r="B52" s="102">
        <f t="shared" ref="B52" si="15">YEAR(D52)</f>
        <v>2022</v>
      </c>
      <c r="C52" s="102" t="str">
        <f t="shared" ref="C52" si="16"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2">
        <v>44838</v>
      </c>
      <c r="E52" s="121" t="s">
        <v>119</v>
      </c>
      <c r="F52" s="36"/>
      <c r="G52" s="36">
        <v>100</v>
      </c>
      <c r="H52" s="38">
        <f t="shared" si="10"/>
        <v>2125</v>
      </c>
      <c r="I52" s="122"/>
      <c r="J52" s="122"/>
      <c r="K52" s="122"/>
      <c r="L52" s="122"/>
      <c r="M52" s="159"/>
      <c r="O52" s="29"/>
      <c r="P52" s="30"/>
    </row>
    <row r="53" spans="1:17" ht="12.75" customHeight="1" x14ac:dyDescent="0.2">
      <c r="A53" s="102">
        <f t="shared" ref="A53:A56" si="17">MONTH(D53)</f>
        <v>10</v>
      </c>
      <c r="B53" s="102">
        <f t="shared" ref="B53:B56" si="18">YEAR(D53)</f>
        <v>2022</v>
      </c>
      <c r="C53" s="102" t="str">
        <f t="shared" ref="C53:C56" si="19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2">
        <v>44838</v>
      </c>
      <c r="E53" s="121" t="s">
        <v>120</v>
      </c>
      <c r="F53" s="36"/>
      <c r="G53" s="36">
        <v>25</v>
      </c>
      <c r="H53" s="38">
        <f t="shared" si="10"/>
        <v>2150</v>
      </c>
      <c r="I53" s="122"/>
      <c r="J53" s="122"/>
      <c r="K53" s="122"/>
      <c r="L53" s="122"/>
      <c r="M53" s="104"/>
      <c r="O53" s="29"/>
      <c r="P53" s="29"/>
      <c r="Q53" s="30"/>
    </row>
    <row r="54" spans="1:17" ht="12.75" customHeight="1" x14ac:dyDescent="0.2">
      <c r="A54" s="37">
        <f t="shared" si="17"/>
        <v>10</v>
      </c>
      <c r="B54" s="37">
        <f t="shared" si="18"/>
        <v>2022</v>
      </c>
      <c r="C54" s="37" t="str">
        <f t="shared" si="19"/>
        <v>Income: 1</v>
      </c>
      <c r="D54" s="28">
        <v>44837</v>
      </c>
      <c r="E54" s="29" t="s">
        <v>70</v>
      </c>
      <c r="F54" s="36">
        <v>2000</v>
      </c>
      <c r="G54" s="36"/>
      <c r="H54" s="38">
        <f t="shared" si="10"/>
        <v>150</v>
      </c>
      <c r="I54" s="122"/>
      <c r="J54" s="122"/>
      <c r="K54" s="122"/>
      <c r="L54" s="122"/>
      <c r="M54" s="168"/>
      <c r="O54" s="29"/>
      <c r="P54" s="29"/>
    </row>
    <row r="55" spans="1:17" ht="12.75" customHeight="1" x14ac:dyDescent="0.2">
      <c r="A55" s="37">
        <f t="shared" si="17"/>
        <v>11</v>
      </c>
      <c r="B55" s="37">
        <f t="shared" si="18"/>
        <v>2022</v>
      </c>
      <c r="C55" s="37" t="str">
        <f t="shared" si="19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 t="shared" ref="H55:H63" si="20">H54+G55-F55</f>
        <v>2075</v>
      </c>
      <c r="I55" s="159"/>
      <c r="J55" s="122"/>
      <c r="K55" s="122"/>
      <c r="L55" s="122"/>
      <c r="M55" s="168"/>
      <c r="O55" s="29"/>
      <c r="P55" s="29"/>
      <c r="Q55" s="30"/>
    </row>
    <row r="56" spans="1:17" ht="12.75" customHeight="1" x14ac:dyDescent="0.2">
      <c r="A56" s="37">
        <f t="shared" si="17"/>
        <v>11</v>
      </c>
      <c r="B56" s="37">
        <f t="shared" si="18"/>
        <v>2022</v>
      </c>
      <c r="C56" s="37" t="str">
        <f t="shared" si="19"/>
        <v>Late Fee 1</v>
      </c>
      <c r="D56" s="86">
        <v>44884</v>
      </c>
      <c r="E56" s="29" t="s">
        <v>121</v>
      </c>
      <c r="F56" s="36"/>
      <c r="G56" s="36">
        <v>175</v>
      </c>
      <c r="H56" s="38">
        <f t="shared" si="20"/>
        <v>2250</v>
      </c>
      <c r="I56" s="122"/>
      <c r="J56" s="122"/>
      <c r="K56" s="122"/>
      <c r="L56" s="122"/>
      <c r="M56" s="104"/>
      <c r="O56" s="29"/>
      <c r="P56" s="29"/>
    </row>
    <row r="57" spans="1:17" ht="12.75" customHeight="1" x14ac:dyDescent="0.2">
      <c r="A57" s="37">
        <f t="shared" ref="A57:A63" si="21">MONTH(D57)</f>
        <v>11</v>
      </c>
      <c r="B57" s="37">
        <f t="shared" ref="B57:B63" si="22">YEAR(D57)</f>
        <v>2022</v>
      </c>
      <c r="C57" s="37" t="str">
        <f t="shared" ref="C57:C63" si="23">IFERROR("Late Fee "&amp;FIND("Late Fee",E57),IFERROR("Internet "&amp;FIND("Internet",E57),IFERROR("Utilities "&amp;FIND("Utilities",E57),IFERROR("Rent: "&amp;FIND("Rent",E57),IFERROR("Priv Tax: "&amp;FIND("Tax",E57),IFERROR("Income: "&amp;FIND("Payment",E57,1),""))))))</f>
        <v>Income: 1</v>
      </c>
      <c r="D57" s="28">
        <v>44886</v>
      </c>
      <c r="E57" s="29" t="s">
        <v>70</v>
      </c>
      <c r="F57" s="36">
        <v>2250</v>
      </c>
      <c r="G57" s="36"/>
      <c r="H57" s="38">
        <f>H56+G57-F57</f>
        <v>0</v>
      </c>
      <c r="I57" s="105"/>
      <c r="J57" s="122"/>
      <c r="K57" s="122"/>
      <c r="L57" s="122"/>
      <c r="M57" s="104"/>
      <c r="O57" s="29"/>
      <c r="P57" s="29"/>
      <c r="Q57" s="30"/>
    </row>
    <row r="58" spans="1:17" ht="12.75" customHeight="1" x14ac:dyDescent="0.2">
      <c r="A58" s="37">
        <f t="shared" si="21"/>
        <v>12</v>
      </c>
      <c r="B58" s="37">
        <f t="shared" si="22"/>
        <v>2022</v>
      </c>
      <c r="C58" s="37" t="str">
        <f t="shared" si="23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 t="shared" si="20"/>
        <v>1925</v>
      </c>
      <c r="I58" s="122"/>
      <c r="J58" s="122"/>
      <c r="K58" s="122"/>
      <c r="L58" s="122"/>
      <c r="M58" s="104"/>
      <c r="O58" s="29"/>
      <c r="P58" s="29"/>
    </row>
    <row r="59" spans="1:17" ht="12.75" customHeight="1" x14ac:dyDescent="0.2">
      <c r="A59" s="37">
        <f t="shared" si="21"/>
        <v>12</v>
      </c>
      <c r="B59" s="37">
        <f t="shared" si="22"/>
        <v>2022</v>
      </c>
      <c r="C59" s="37" t="str">
        <f t="shared" si="23"/>
        <v>Income: 1</v>
      </c>
      <c r="D59" s="28">
        <v>44900</v>
      </c>
      <c r="E59" s="29" t="s">
        <v>70</v>
      </c>
      <c r="F59" s="36">
        <v>1925</v>
      </c>
      <c r="G59" s="36"/>
      <c r="H59" s="38">
        <f t="shared" si="20"/>
        <v>0</v>
      </c>
      <c r="I59" s="122"/>
      <c r="J59" s="122"/>
      <c r="K59" s="122"/>
      <c r="L59" s="122"/>
      <c r="M59" s="104"/>
      <c r="O59" s="29"/>
      <c r="P59" s="29"/>
      <c r="Q59" s="30"/>
    </row>
    <row r="60" spans="1:17" ht="12.75" customHeight="1" x14ac:dyDescent="0.2">
      <c r="A60" s="37">
        <f t="shared" si="21"/>
        <v>1</v>
      </c>
      <c r="B60" s="37">
        <f t="shared" si="22"/>
        <v>2023</v>
      </c>
      <c r="C60" s="37" t="str">
        <f t="shared" si="23"/>
        <v>Rent: 1</v>
      </c>
      <c r="D60" s="40" t="str">
        <f>"1/1/" &amp; YEAR(D57)+1</f>
        <v>1/1/2023</v>
      </c>
      <c r="E60" s="39" t="str">
        <f>"Rent: "&amp;LOOKUP(A60-1, Months, TextMonths)&amp;" '"&amp;B60</f>
        <v>Rent: Jan '2023</v>
      </c>
      <c r="F60" s="36"/>
      <c r="G60" s="36">
        <v>1925</v>
      </c>
      <c r="H60" s="38">
        <f t="shared" si="20"/>
        <v>1925</v>
      </c>
      <c r="I60" s="122"/>
      <c r="J60" s="122"/>
      <c r="K60" s="122"/>
      <c r="L60" s="122"/>
      <c r="M60" s="122"/>
    </row>
    <row r="61" spans="1:17" ht="12.75" customHeight="1" x14ac:dyDescent="0.2">
      <c r="A61" s="37">
        <f t="shared" si="21"/>
        <v>1</v>
      </c>
      <c r="B61" s="37">
        <f t="shared" si="22"/>
        <v>2023</v>
      </c>
      <c r="C61" s="37" t="str">
        <f t="shared" si="23"/>
        <v>Income: 1</v>
      </c>
      <c r="D61" s="28">
        <v>44931</v>
      </c>
      <c r="E61" s="29" t="s">
        <v>70</v>
      </c>
      <c r="F61" s="36">
        <v>1925</v>
      </c>
      <c r="G61" s="36"/>
      <c r="H61" s="38">
        <f t="shared" si="20"/>
        <v>0</v>
      </c>
      <c r="I61" s="104"/>
      <c r="J61" s="122"/>
      <c r="K61" s="122"/>
      <c r="L61" s="122"/>
      <c r="M61" s="122"/>
    </row>
    <row r="62" spans="1:17" ht="12.75" customHeight="1" x14ac:dyDescent="0.2">
      <c r="A62" s="37">
        <f t="shared" si="21"/>
        <v>2</v>
      </c>
      <c r="B62" s="37">
        <f t="shared" si="22"/>
        <v>2023</v>
      </c>
      <c r="C62" s="37" t="str">
        <f t="shared" si="23"/>
        <v>Rent: 1</v>
      </c>
      <c r="D62" s="40" t="str">
        <f>MONTH(D61)+1 &amp; "/1/" &amp; YEAR(D61)</f>
        <v>2/1/2023</v>
      </c>
      <c r="E62" s="39" t="str">
        <f>"Rent: "&amp;LOOKUP(A62-1, Months, TextMonths)&amp;" '"&amp;B62</f>
        <v>Rent: Feb '2023</v>
      </c>
      <c r="F62" s="36"/>
      <c r="G62" s="36">
        <v>1925</v>
      </c>
      <c r="H62" s="38">
        <f t="shared" si="20"/>
        <v>1925</v>
      </c>
      <c r="I62" s="122"/>
      <c r="J62" s="122"/>
      <c r="K62" s="122"/>
      <c r="L62" s="122"/>
      <c r="M62" s="122"/>
    </row>
    <row r="63" spans="1:17" ht="12.75" customHeight="1" x14ac:dyDescent="0.2">
      <c r="A63" s="37">
        <f t="shared" si="21"/>
        <v>2</v>
      </c>
      <c r="B63" s="37">
        <f t="shared" si="22"/>
        <v>2023</v>
      </c>
      <c r="C63" s="37" t="str">
        <f t="shared" si="23"/>
        <v>Income: 1</v>
      </c>
      <c r="D63" s="28">
        <v>44962</v>
      </c>
      <c r="E63" s="29" t="s">
        <v>70</v>
      </c>
      <c r="F63" s="36">
        <v>1950</v>
      </c>
      <c r="G63" s="36"/>
      <c r="H63" s="38">
        <f t="shared" si="20"/>
        <v>-25</v>
      </c>
      <c r="I63" s="122"/>
      <c r="J63" s="122"/>
      <c r="K63" s="122"/>
      <c r="L63" s="122"/>
      <c r="M63" s="122"/>
    </row>
    <row r="64" spans="1:17" ht="12.75" customHeight="1" x14ac:dyDescent="0.2">
      <c r="A64" t="s">
        <v>172</v>
      </c>
      <c r="F64" s="36"/>
      <c r="G64" s="36"/>
      <c r="H64" s="36"/>
      <c r="I64" s="122"/>
      <c r="J64" s="122"/>
      <c r="K64" s="122"/>
      <c r="L64" s="122"/>
      <c r="M64" s="122"/>
    </row>
    <row r="65" spans="1:13" ht="12.75" customHeight="1" x14ac:dyDescent="0.2">
      <c r="A65" s="102">
        <f t="shared" ref="A65:A87" si="24">MONTH(D65)</f>
        <v>4</v>
      </c>
      <c r="B65" s="102">
        <f t="shared" ref="B65:B87" si="25">YEAR(D65)</f>
        <v>2023</v>
      </c>
      <c r="C65" s="102" t="str">
        <f t="shared" ref="C65:C87" si="26">IFERROR("Late Fee "&amp;FIND("Late Fee",E65),IFERROR("Internet "&amp;FIND("Internet",E65),IFERROR("Utilities "&amp;FIND("Utilities",E65),IFERROR("Rent: "&amp;FIND("Rent",E65),IFERROR("Priv Tax: "&amp;FIND("Tax",E65),IFERROR("Income: "&amp;FIND("Payment",E65,1),""))))))</f>
        <v>Rent: 1</v>
      </c>
      <c r="D65" s="120">
        <v>45037</v>
      </c>
      <c r="E65" s="121" t="str">
        <f>"Rent: "&amp;LOOKUP(A65-1, Months, TextMonths)&amp;" '"&amp;B65</f>
        <v>Rent: Apr '2023</v>
      </c>
      <c r="F65" s="36"/>
      <c r="G65" s="36">
        <v>2100</v>
      </c>
      <c r="H65" s="107">
        <f t="shared" ref="H65:H87" si="27">H64+G65-F65</f>
        <v>2100</v>
      </c>
      <c r="I65" s="122"/>
      <c r="J65" s="122"/>
      <c r="K65" s="122"/>
      <c r="L65" s="122"/>
      <c r="M65" s="122"/>
    </row>
    <row r="66" spans="1:13" ht="12.75" customHeight="1" x14ac:dyDescent="0.25">
      <c r="A66" s="102">
        <f t="shared" si="24"/>
        <v>4</v>
      </c>
      <c r="B66" s="102">
        <f t="shared" si="25"/>
        <v>2023</v>
      </c>
      <c r="C66" s="102" t="str">
        <f t="shared" si="26"/>
        <v/>
      </c>
      <c r="D66" s="28">
        <v>45037</v>
      </c>
      <c r="E66" s="255" t="s">
        <v>173</v>
      </c>
      <c r="F66" s="36"/>
      <c r="G66" s="36">
        <v>350</v>
      </c>
      <c r="H66" s="107">
        <f t="shared" si="27"/>
        <v>2450</v>
      </c>
      <c r="I66" s="122"/>
      <c r="J66" s="122"/>
      <c r="K66" s="122"/>
      <c r="L66" s="122"/>
      <c r="M66" s="122"/>
    </row>
    <row r="67" spans="1:13" ht="12.75" customHeight="1" x14ac:dyDescent="0.25">
      <c r="A67" s="102">
        <f t="shared" si="24"/>
        <v>4</v>
      </c>
      <c r="B67" s="102">
        <f t="shared" si="25"/>
        <v>2023</v>
      </c>
      <c r="C67" s="102" t="str">
        <f t="shared" si="26"/>
        <v/>
      </c>
      <c r="D67" s="28">
        <v>45037</v>
      </c>
      <c r="E67" s="255" t="s">
        <v>174</v>
      </c>
      <c r="F67" s="36"/>
      <c r="G67" s="36">
        <v>2100</v>
      </c>
      <c r="H67" s="107">
        <f t="shared" si="27"/>
        <v>4550</v>
      </c>
      <c r="I67" s="122"/>
      <c r="J67" s="122"/>
      <c r="K67" s="122"/>
      <c r="L67" s="122"/>
      <c r="M67" s="122"/>
    </row>
    <row r="68" spans="1:13" ht="12.75" customHeight="1" x14ac:dyDescent="0.2">
      <c r="A68" s="102">
        <f t="shared" si="24"/>
        <v>4</v>
      </c>
      <c r="B68" s="102">
        <f t="shared" si="25"/>
        <v>2023</v>
      </c>
      <c r="C68" s="102" t="str">
        <f t="shared" si="26"/>
        <v>Income: 1</v>
      </c>
      <c r="D68" s="133">
        <v>45040</v>
      </c>
      <c r="E68" s="29" t="s">
        <v>70</v>
      </c>
      <c r="F68" s="36">
        <v>2000</v>
      </c>
      <c r="G68" s="36"/>
      <c r="H68" s="107">
        <f t="shared" si="27"/>
        <v>2550</v>
      </c>
      <c r="I68" s="122"/>
      <c r="J68" s="122"/>
      <c r="K68" s="122"/>
      <c r="L68" s="122"/>
      <c r="M68" s="122"/>
    </row>
    <row r="69" spans="1:13" ht="12.75" customHeight="1" x14ac:dyDescent="0.2">
      <c r="A69" s="102">
        <f t="shared" si="24"/>
        <v>4</v>
      </c>
      <c r="B69" s="102">
        <f t="shared" si="25"/>
        <v>2023</v>
      </c>
      <c r="C69" s="102" t="str">
        <f t="shared" si="26"/>
        <v>Income: 1</v>
      </c>
      <c r="D69" s="133">
        <v>45042</v>
      </c>
      <c r="E69" s="29" t="s">
        <v>70</v>
      </c>
      <c r="F69" s="36">
        <v>2450</v>
      </c>
      <c r="G69" s="36"/>
      <c r="H69" s="107">
        <f t="shared" si="27"/>
        <v>100</v>
      </c>
      <c r="I69" s="104"/>
      <c r="J69" s="122"/>
      <c r="K69" s="122"/>
      <c r="L69" s="122"/>
      <c r="M69" s="122"/>
    </row>
    <row r="70" spans="1:13" ht="12.75" customHeight="1" x14ac:dyDescent="0.2">
      <c r="A70" s="102">
        <f t="shared" si="24"/>
        <v>5</v>
      </c>
      <c r="B70" s="102">
        <f t="shared" si="25"/>
        <v>2023</v>
      </c>
      <c r="C70" s="102" t="str">
        <f t="shared" si="26"/>
        <v>Rent: 1</v>
      </c>
      <c r="D70" s="120" t="str">
        <f>MONTH(D69)+1 &amp; "/21/" &amp; YEAR(D67)</f>
        <v>5/21/2023</v>
      </c>
      <c r="E70" s="121" t="str">
        <f>"Rent: "&amp;LOOKUP(A70-1, Months, TextMonths)&amp;" '"&amp;B70</f>
        <v>Rent: May '2023</v>
      </c>
      <c r="F70" s="36"/>
      <c r="G70" s="36">
        <v>2100</v>
      </c>
      <c r="H70" s="107">
        <f t="shared" si="27"/>
        <v>2200</v>
      </c>
      <c r="I70" s="122"/>
      <c r="J70" s="122"/>
      <c r="K70" s="122"/>
      <c r="L70" s="122"/>
      <c r="M70" s="122"/>
    </row>
    <row r="71" spans="1:13" ht="12.75" customHeight="1" x14ac:dyDescent="0.2">
      <c r="A71" s="102">
        <f t="shared" si="24"/>
        <v>5</v>
      </c>
      <c r="B71" s="102">
        <f t="shared" si="25"/>
        <v>2023</v>
      </c>
      <c r="C71" s="102" t="str">
        <f t="shared" si="26"/>
        <v>Income: 1</v>
      </c>
      <c r="D71" s="133">
        <v>45068</v>
      </c>
      <c r="E71" s="29" t="s">
        <v>70</v>
      </c>
      <c r="F71" s="36">
        <v>2000</v>
      </c>
      <c r="G71" s="36"/>
      <c r="H71" s="107">
        <f t="shared" si="27"/>
        <v>200</v>
      </c>
      <c r="I71" s="122"/>
      <c r="J71" s="122"/>
      <c r="K71" s="122"/>
      <c r="L71" s="122"/>
      <c r="M71" s="122"/>
    </row>
    <row r="72" spans="1:13" ht="12.75" customHeight="1" x14ac:dyDescent="0.2">
      <c r="A72" s="102">
        <f t="shared" si="24"/>
        <v>5</v>
      </c>
      <c r="B72" s="102">
        <f t="shared" si="25"/>
        <v>2023</v>
      </c>
      <c r="C72" s="102" t="str">
        <f t="shared" si="26"/>
        <v>Income: 1</v>
      </c>
      <c r="D72" s="133">
        <v>45072</v>
      </c>
      <c r="E72" s="29" t="s">
        <v>70</v>
      </c>
      <c r="F72" s="36">
        <v>200</v>
      </c>
      <c r="G72" s="36"/>
      <c r="H72" s="107">
        <f t="shared" si="27"/>
        <v>0</v>
      </c>
      <c r="I72" s="122"/>
      <c r="J72" s="122"/>
      <c r="K72" s="122"/>
      <c r="L72" s="122"/>
      <c r="M72" s="122"/>
    </row>
    <row r="73" spans="1:13" ht="12.75" customHeight="1" x14ac:dyDescent="0.2">
      <c r="A73" s="102">
        <f t="shared" si="24"/>
        <v>6</v>
      </c>
      <c r="B73" s="102">
        <f t="shared" si="25"/>
        <v>2023</v>
      </c>
      <c r="C73" s="102" t="str">
        <f t="shared" si="26"/>
        <v>Rent: 1</v>
      </c>
      <c r="D73" s="120" t="str">
        <f>MONTH(D72)+1 &amp; "/21/" &amp; YEAR(D70)</f>
        <v>6/21/2023</v>
      </c>
      <c r="E73" s="121" t="str">
        <f>"Rent: "&amp;LOOKUP(A73-1, Months, TextMonths)&amp;" '"&amp;B73</f>
        <v>Rent: Jun '2023</v>
      </c>
      <c r="F73" s="36"/>
      <c r="G73" s="36">
        <v>2100</v>
      </c>
      <c r="H73" s="107">
        <f t="shared" si="27"/>
        <v>2100</v>
      </c>
      <c r="I73" s="122"/>
      <c r="J73" s="122"/>
      <c r="K73" s="122"/>
      <c r="L73" s="122"/>
      <c r="M73" s="122"/>
    </row>
    <row r="74" spans="1:13" ht="12.75" customHeight="1" x14ac:dyDescent="0.2">
      <c r="A74" s="102">
        <f t="shared" si="24"/>
        <v>6</v>
      </c>
      <c r="B74" s="102">
        <f t="shared" si="25"/>
        <v>2023</v>
      </c>
      <c r="C74" s="102" t="str">
        <f t="shared" si="26"/>
        <v>Income: 1</v>
      </c>
      <c r="D74" s="133">
        <v>45098</v>
      </c>
      <c r="E74" s="29" t="s">
        <v>70</v>
      </c>
      <c r="F74" s="36">
        <v>100</v>
      </c>
      <c r="G74" s="36"/>
      <c r="H74" s="107">
        <f t="shared" si="27"/>
        <v>2000</v>
      </c>
      <c r="I74" s="122"/>
      <c r="J74" s="122"/>
      <c r="K74" s="122"/>
      <c r="L74" s="122"/>
      <c r="M74" s="122"/>
    </row>
    <row r="75" spans="1:13" ht="12.75" customHeight="1" x14ac:dyDescent="0.2">
      <c r="A75" s="102">
        <f t="shared" si="24"/>
        <v>6</v>
      </c>
      <c r="B75" s="102">
        <f t="shared" si="25"/>
        <v>2023</v>
      </c>
      <c r="C75" s="102" t="str">
        <f t="shared" si="26"/>
        <v>Income: 1</v>
      </c>
      <c r="D75" s="133">
        <v>45098</v>
      </c>
      <c r="E75" s="29" t="s">
        <v>70</v>
      </c>
      <c r="F75" s="36">
        <v>2000</v>
      </c>
      <c r="G75" s="36"/>
      <c r="H75" s="107">
        <f t="shared" si="27"/>
        <v>0</v>
      </c>
      <c r="I75" s="122"/>
      <c r="J75" s="122"/>
      <c r="K75" s="122"/>
      <c r="L75" s="122"/>
      <c r="M75" s="122"/>
    </row>
    <row r="76" spans="1:13" ht="12.75" customHeight="1" x14ac:dyDescent="0.2">
      <c r="A76" s="102">
        <f t="shared" si="24"/>
        <v>7</v>
      </c>
      <c r="B76" s="102">
        <f t="shared" si="25"/>
        <v>2023</v>
      </c>
      <c r="C76" s="102" t="str">
        <f t="shared" si="26"/>
        <v>Rent: 1</v>
      </c>
      <c r="D76" s="120" t="str">
        <f>MONTH(D75)+1 &amp; "/21/" &amp; YEAR(D73)</f>
        <v>7/21/2023</v>
      </c>
      <c r="E76" s="121" t="str">
        <f>"Rent: "&amp;LOOKUP(A76-1, Months, TextMonths)&amp;" '"&amp;B76</f>
        <v>Rent: Jul '2023</v>
      </c>
      <c r="F76" s="36"/>
      <c r="G76" s="36">
        <v>2100</v>
      </c>
      <c r="H76" s="107">
        <f t="shared" si="27"/>
        <v>2100</v>
      </c>
      <c r="I76" s="159"/>
      <c r="J76" s="122"/>
      <c r="K76" s="122"/>
      <c r="L76" s="122"/>
      <c r="M76" s="122"/>
    </row>
    <row r="77" spans="1:13" ht="12.75" customHeight="1" x14ac:dyDescent="0.2">
      <c r="A77" s="102">
        <f t="shared" si="24"/>
        <v>7</v>
      </c>
      <c r="B77" s="102">
        <f t="shared" si="25"/>
        <v>2023</v>
      </c>
      <c r="C77" s="102" t="str">
        <f t="shared" si="26"/>
        <v>Income: 1</v>
      </c>
      <c r="D77" s="133">
        <v>45128</v>
      </c>
      <c r="E77" s="29" t="s">
        <v>70</v>
      </c>
      <c r="F77" s="36">
        <v>100</v>
      </c>
      <c r="G77" s="36"/>
      <c r="H77" s="107">
        <f t="shared" si="27"/>
        <v>2000</v>
      </c>
      <c r="I77" s="159"/>
      <c r="J77" s="122"/>
      <c r="K77" s="122"/>
      <c r="L77" s="122"/>
      <c r="M77" s="122"/>
    </row>
    <row r="78" spans="1:13" ht="12.75" customHeight="1" x14ac:dyDescent="0.2">
      <c r="A78" s="102">
        <f t="shared" si="24"/>
        <v>7</v>
      </c>
      <c r="B78" s="102">
        <f t="shared" si="25"/>
        <v>2023</v>
      </c>
      <c r="C78" s="102" t="str">
        <f t="shared" si="26"/>
        <v>Income: 1</v>
      </c>
      <c r="D78" s="133">
        <v>45128</v>
      </c>
      <c r="E78" s="29" t="s">
        <v>70</v>
      </c>
      <c r="F78" s="36">
        <v>2000</v>
      </c>
      <c r="G78" s="36"/>
      <c r="H78" s="107">
        <f t="shared" si="27"/>
        <v>0</v>
      </c>
      <c r="I78" s="122"/>
      <c r="J78" s="122"/>
      <c r="K78" s="122"/>
      <c r="L78" s="122"/>
      <c r="M78" s="122"/>
    </row>
    <row r="79" spans="1:13" ht="12.75" customHeight="1" x14ac:dyDescent="0.2">
      <c r="A79" s="102">
        <f t="shared" si="24"/>
        <v>8</v>
      </c>
      <c r="B79" s="102">
        <f t="shared" si="25"/>
        <v>2023</v>
      </c>
      <c r="C79" s="102" t="str">
        <f t="shared" si="26"/>
        <v>Rent: 1</v>
      </c>
      <c r="D79" s="120" t="str">
        <f>MONTH(D78)+1 &amp; "/21/" &amp; YEAR(D76)</f>
        <v>8/21/2023</v>
      </c>
      <c r="E79" s="121" t="str">
        <f>"Rent: "&amp;LOOKUP(A79-1, Months, TextMonths)&amp;" '"&amp;B79</f>
        <v>Rent: Aug '2023</v>
      </c>
      <c r="F79" s="36"/>
      <c r="G79" s="36">
        <v>2100</v>
      </c>
      <c r="H79" s="107">
        <f t="shared" si="27"/>
        <v>2100</v>
      </c>
      <c r="I79" s="122"/>
      <c r="J79" s="122"/>
      <c r="K79" s="122"/>
      <c r="L79" s="122"/>
      <c r="M79" s="122"/>
    </row>
    <row r="80" spans="1:13" ht="12.75" customHeight="1" x14ac:dyDescent="0.2">
      <c r="A80" s="102">
        <f t="shared" si="24"/>
        <v>8</v>
      </c>
      <c r="B80" s="102">
        <f t="shared" si="25"/>
        <v>2023</v>
      </c>
      <c r="C80" s="102" t="str">
        <f t="shared" si="26"/>
        <v>Income: 1</v>
      </c>
      <c r="D80" s="133">
        <v>45160</v>
      </c>
      <c r="E80" s="29" t="s">
        <v>70</v>
      </c>
      <c r="F80" s="36">
        <v>2000</v>
      </c>
      <c r="G80" s="36"/>
      <c r="H80" s="107">
        <f t="shared" si="27"/>
        <v>100</v>
      </c>
      <c r="I80" s="122"/>
      <c r="J80" s="122"/>
      <c r="K80" s="122"/>
      <c r="L80" s="122"/>
      <c r="M80" s="122"/>
    </row>
    <row r="81" spans="1:13" ht="12.75" customHeight="1" x14ac:dyDescent="0.2">
      <c r="A81" s="102">
        <f t="shared" si="24"/>
        <v>8</v>
      </c>
      <c r="B81" s="102">
        <f t="shared" si="25"/>
        <v>2023</v>
      </c>
      <c r="C81" s="102" t="str">
        <f t="shared" si="26"/>
        <v>Income: 1</v>
      </c>
      <c r="D81" s="133">
        <v>45160</v>
      </c>
      <c r="E81" s="29" t="s">
        <v>70</v>
      </c>
      <c r="F81" s="36">
        <v>100</v>
      </c>
      <c r="G81" s="36"/>
      <c r="H81" s="107">
        <f t="shared" si="27"/>
        <v>0</v>
      </c>
      <c r="I81" s="122"/>
      <c r="J81" s="122"/>
      <c r="K81" s="122"/>
      <c r="L81" s="122"/>
      <c r="M81" s="122"/>
    </row>
    <row r="82" spans="1:13" ht="12.75" customHeight="1" x14ac:dyDescent="0.2">
      <c r="A82" s="102">
        <f t="shared" si="24"/>
        <v>9</v>
      </c>
      <c r="B82" s="102">
        <f t="shared" si="25"/>
        <v>2023</v>
      </c>
      <c r="C82" s="102" t="str">
        <f t="shared" si="26"/>
        <v>Rent: 1</v>
      </c>
      <c r="D82" s="120" t="str">
        <f>MONTH(D81)+1 &amp; "/21/" &amp; YEAR(D79)</f>
        <v>9/21/2023</v>
      </c>
      <c r="E82" s="121" t="str">
        <f>"Rent: "&amp;LOOKUP(A82-1, Months, TextMonths)&amp;" '"&amp;B82</f>
        <v>Rent: Sep '2023</v>
      </c>
      <c r="F82" s="36"/>
      <c r="G82" s="36">
        <v>2100</v>
      </c>
      <c r="H82" s="107">
        <f t="shared" si="27"/>
        <v>2100</v>
      </c>
      <c r="I82" s="159"/>
      <c r="J82" s="122"/>
      <c r="K82" s="122"/>
      <c r="L82" s="122"/>
      <c r="M82" s="122"/>
    </row>
    <row r="83" spans="1:13" ht="12.75" customHeight="1" x14ac:dyDescent="0.2">
      <c r="A83" s="102">
        <f t="shared" si="24"/>
        <v>9</v>
      </c>
      <c r="B83" s="102">
        <f t="shared" si="25"/>
        <v>2023</v>
      </c>
      <c r="C83" s="102" t="str">
        <f t="shared" si="26"/>
        <v>Income: 1</v>
      </c>
      <c r="D83" s="133">
        <v>45190</v>
      </c>
      <c r="E83" s="29" t="s">
        <v>70</v>
      </c>
      <c r="F83" s="36">
        <v>2000</v>
      </c>
      <c r="G83" s="36"/>
      <c r="H83" s="107">
        <f t="shared" si="27"/>
        <v>100</v>
      </c>
      <c r="I83" s="122"/>
      <c r="J83" s="122"/>
      <c r="K83" s="122"/>
      <c r="L83" s="122"/>
      <c r="M83" s="122"/>
    </row>
    <row r="84" spans="1:13" ht="12.75" customHeight="1" x14ac:dyDescent="0.2">
      <c r="A84" s="102">
        <f t="shared" si="24"/>
        <v>9</v>
      </c>
      <c r="B84" s="102">
        <f t="shared" si="25"/>
        <v>2023</v>
      </c>
      <c r="C84" s="102" t="str">
        <f t="shared" si="26"/>
        <v>Income: 1</v>
      </c>
      <c r="D84" s="133">
        <v>45191</v>
      </c>
      <c r="E84" s="29" t="s">
        <v>70</v>
      </c>
      <c r="F84" s="36">
        <v>100</v>
      </c>
      <c r="G84" s="36"/>
      <c r="H84" s="107">
        <f t="shared" si="27"/>
        <v>0</v>
      </c>
      <c r="I84" s="122"/>
      <c r="J84" s="122"/>
      <c r="K84" s="122"/>
      <c r="L84" s="122"/>
      <c r="M84" s="122"/>
    </row>
    <row r="85" spans="1:13" ht="12.75" customHeight="1" x14ac:dyDescent="0.2">
      <c r="A85" s="102">
        <f t="shared" si="24"/>
        <v>10</v>
      </c>
      <c r="B85" s="102">
        <f t="shared" si="25"/>
        <v>2023</v>
      </c>
      <c r="C85" s="102" t="str">
        <f t="shared" si="26"/>
        <v>Rent: 1</v>
      </c>
      <c r="D85" s="120" t="str">
        <f>MONTH(D84)+1 &amp; "/21/" &amp; YEAR(D82)</f>
        <v>10/21/2023</v>
      </c>
      <c r="E85" s="121" t="str">
        <f>"Rent: "&amp;LOOKUP(A85-1, Months, TextMonths)&amp;" '"&amp;B85</f>
        <v>Rent: Oct '2023</v>
      </c>
      <c r="F85" s="36"/>
      <c r="G85" s="36">
        <v>2100</v>
      </c>
      <c r="H85" s="107">
        <f t="shared" si="27"/>
        <v>2100</v>
      </c>
      <c r="I85" s="122"/>
      <c r="J85" s="122"/>
      <c r="K85" s="122"/>
      <c r="L85" s="122"/>
      <c r="M85" s="122"/>
    </row>
    <row r="86" spans="1:13" ht="12.75" customHeight="1" x14ac:dyDescent="0.2">
      <c r="A86" s="102">
        <f t="shared" si="24"/>
        <v>10</v>
      </c>
      <c r="B86" s="102">
        <f t="shared" si="25"/>
        <v>2023</v>
      </c>
      <c r="C86" s="102" t="str">
        <f t="shared" si="26"/>
        <v>Income: 1</v>
      </c>
      <c r="D86" s="133">
        <v>45220</v>
      </c>
      <c r="E86" s="29" t="s">
        <v>70</v>
      </c>
      <c r="F86" s="36">
        <v>2000</v>
      </c>
      <c r="G86" s="36"/>
      <c r="H86" s="107">
        <f t="shared" si="27"/>
        <v>100</v>
      </c>
      <c r="I86" s="122"/>
      <c r="J86" s="122"/>
      <c r="K86" s="122"/>
      <c r="L86" s="122"/>
      <c r="M86" s="122"/>
    </row>
    <row r="87" spans="1:13" ht="12.75" customHeight="1" x14ac:dyDescent="0.2">
      <c r="A87" s="102">
        <f t="shared" si="24"/>
        <v>10</v>
      </c>
      <c r="B87" s="102">
        <f t="shared" si="25"/>
        <v>2023</v>
      </c>
      <c r="C87" s="102" t="str">
        <f t="shared" si="26"/>
        <v>Income: 1</v>
      </c>
      <c r="D87" s="133">
        <v>45220</v>
      </c>
      <c r="E87" s="29" t="s">
        <v>70</v>
      </c>
      <c r="F87" s="36">
        <v>100</v>
      </c>
      <c r="G87" s="36"/>
      <c r="H87" s="107">
        <f t="shared" si="27"/>
        <v>0</v>
      </c>
      <c r="I87" s="159"/>
      <c r="J87" s="122"/>
      <c r="K87" s="122"/>
      <c r="L87" s="122"/>
      <c r="M87" s="122"/>
    </row>
    <row r="88" spans="1:13" ht="12.75" customHeight="1" x14ac:dyDescent="0.2">
      <c r="F88" s="36"/>
      <c r="G88" s="36"/>
      <c r="H88" s="36"/>
      <c r="I88" s="122"/>
      <c r="J88" s="122"/>
      <c r="K88" s="122"/>
      <c r="L88" s="122"/>
      <c r="M88" s="122"/>
    </row>
    <row r="89" spans="1:13" ht="12.75" customHeight="1" x14ac:dyDescent="0.2">
      <c r="F89" s="36"/>
      <c r="G89" s="36"/>
      <c r="H89" s="36"/>
      <c r="I89" s="159"/>
      <c r="J89" s="122"/>
      <c r="K89" s="122"/>
      <c r="L89" s="122"/>
      <c r="M89" s="122"/>
    </row>
    <row r="90" spans="1:13" ht="12.75" customHeight="1" x14ac:dyDescent="0.2">
      <c r="F90" s="36"/>
      <c r="G90" s="36"/>
      <c r="H90" s="36"/>
      <c r="I90" s="122"/>
      <c r="J90" s="122"/>
      <c r="K90" s="122"/>
      <c r="L90" s="122"/>
      <c r="M90" s="122"/>
    </row>
    <row r="91" spans="1:13" ht="12.75" customHeight="1" x14ac:dyDescent="0.2">
      <c r="F91" s="36"/>
      <c r="G91" s="36"/>
      <c r="H91" s="36"/>
      <c r="I91" s="122"/>
      <c r="J91" s="122"/>
      <c r="K91" s="122"/>
      <c r="L91" s="122"/>
      <c r="M91" s="122"/>
    </row>
    <row r="92" spans="1:13" ht="12.75" customHeight="1" x14ac:dyDescent="0.2">
      <c r="F92" s="36"/>
      <c r="G92" s="36"/>
      <c r="H92" s="36"/>
      <c r="I92" s="122"/>
      <c r="J92" s="122"/>
      <c r="K92" s="122"/>
      <c r="L92" s="122"/>
      <c r="M92" s="122"/>
    </row>
    <row r="93" spans="1:13" ht="12.75" customHeight="1" x14ac:dyDescent="0.2">
      <c r="F93" s="36"/>
      <c r="G93" s="36"/>
      <c r="H93" s="36"/>
      <c r="I93" s="122"/>
      <c r="J93" s="122"/>
      <c r="K93" s="122"/>
      <c r="L93" s="122"/>
      <c r="M93" s="122"/>
    </row>
    <row r="94" spans="1:13" ht="12.75" customHeight="1" x14ac:dyDescent="0.2">
      <c r="F94" s="36"/>
      <c r="G94" s="36"/>
      <c r="H94" s="36"/>
      <c r="I94" s="122"/>
      <c r="J94" s="122"/>
      <c r="K94" s="122"/>
      <c r="L94" s="122"/>
      <c r="M94" s="122"/>
    </row>
    <row r="95" spans="1:13" ht="12.75" customHeight="1" x14ac:dyDescent="0.2">
      <c r="F95" s="36"/>
      <c r="G95" s="36"/>
      <c r="H95" s="36"/>
      <c r="I95" s="122"/>
      <c r="J95" s="122"/>
      <c r="K95" s="122"/>
      <c r="L95" s="122"/>
      <c r="M95" s="122"/>
    </row>
    <row r="96" spans="1:13" ht="12.75" customHeight="1" x14ac:dyDescent="0.2">
      <c r="F96" s="36"/>
      <c r="G96" s="36"/>
      <c r="H96" s="36"/>
      <c r="I96" s="104"/>
      <c r="J96" s="122"/>
      <c r="K96" s="122"/>
      <c r="L96" s="122"/>
      <c r="M96" s="122"/>
    </row>
    <row r="97" spans="6:13" ht="12.75" customHeight="1" x14ac:dyDescent="0.2">
      <c r="F97" s="36"/>
      <c r="G97" s="36"/>
      <c r="H97" s="36"/>
      <c r="I97" s="159"/>
      <c r="J97" s="122"/>
      <c r="K97" s="122"/>
      <c r="L97" s="122"/>
      <c r="M97" s="122"/>
    </row>
    <row r="98" spans="6:13" ht="12.75" customHeight="1" x14ac:dyDescent="0.2">
      <c r="F98" s="36"/>
      <c r="G98" s="36"/>
      <c r="H98" s="36"/>
      <c r="I98" s="122"/>
      <c r="J98" s="122"/>
      <c r="K98" s="122"/>
      <c r="L98" s="122"/>
      <c r="M98" s="122"/>
    </row>
    <row r="99" spans="6:13" ht="12.75" customHeight="1" x14ac:dyDescent="0.2">
      <c r="F99" s="36"/>
      <c r="G99" s="36"/>
      <c r="H99" s="36"/>
      <c r="I99" s="104"/>
      <c r="J99" s="159"/>
      <c r="K99" s="122"/>
      <c r="L99" s="122"/>
      <c r="M99" s="122"/>
    </row>
    <row r="100" spans="6:13" ht="12.75" customHeight="1" x14ac:dyDescent="0.2">
      <c r="F100" s="36"/>
      <c r="G100" s="36"/>
      <c r="H100" s="36"/>
      <c r="I100" s="148"/>
      <c r="J100" s="148"/>
      <c r="K100" s="122"/>
      <c r="L100" s="122"/>
      <c r="M100" s="122"/>
    </row>
    <row r="101" spans="6:13" ht="12.75" customHeight="1" x14ac:dyDescent="0.2">
      <c r="F101" s="36"/>
      <c r="G101" s="36"/>
      <c r="H101" s="36"/>
      <c r="I101" s="122"/>
      <c r="J101" s="122"/>
      <c r="K101" s="122"/>
      <c r="L101" s="122"/>
      <c r="M101" s="122"/>
    </row>
    <row r="102" spans="6:13" ht="12.75" customHeight="1" x14ac:dyDescent="0.2">
      <c r="F102" s="36"/>
      <c r="G102" s="36"/>
      <c r="H102" s="36"/>
      <c r="I102" s="104"/>
      <c r="J102" s="122"/>
      <c r="K102" s="122"/>
      <c r="L102" s="122"/>
      <c r="M102" s="122"/>
    </row>
    <row r="103" spans="6:13" ht="12.75" customHeight="1" x14ac:dyDescent="0.2">
      <c r="F103" s="36"/>
      <c r="G103" s="36"/>
      <c r="H103" s="36"/>
      <c r="I103" s="122"/>
      <c r="J103" s="122"/>
      <c r="K103" s="122"/>
      <c r="L103" s="122"/>
      <c r="M103" s="122"/>
    </row>
    <row r="104" spans="6:13" ht="12.75" customHeight="1" x14ac:dyDescent="0.2">
      <c r="F104" s="36"/>
      <c r="G104" s="36"/>
      <c r="H104" s="36"/>
      <c r="I104" s="159"/>
      <c r="J104" s="122"/>
      <c r="K104" s="122"/>
      <c r="L104" s="122"/>
      <c r="M104" s="122"/>
    </row>
    <row r="105" spans="6:13" ht="12.75" customHeight="1" x14ac:dyDescent="0.2">
      <c r="F105" s="36"/>
      <c r="G105" s="36"/>
      <c r="H105" s="36"/>
      <c r="I105" s="105"/>
      <c r="J105" s="159"/>
      <c r="K105" s="122"/>
      <c r="L105" s="122"/>
      <c r="M105" s="122"/>
    </row>
    <row r="106" spans="6:13" ht="12.75" customHeight="1" x14ac:dyDescent="0.2">
      <c r="F106" s="36"/>
      <c r="G106" s="36"/>
      <c r="H106" s="36"/>
      <c r="I106" s="122"/>
      <c r="J106" s="122"/>
      <c r="K106" s="122"/>
      <c r="L106" s="122"/>
      <c r="M106" s="122"/>
    </row>
    <row r="107" spans="6:13" ht="12.75" customHeight="1" x14ac:dyDescent="0.2">
      <c r="F107" s="36"/>
      <c r="G107" s="36"/>
      <c r="H107" s="36"/>
      <c r="I107" s="122"/>
      <c r="J107" s="122"/>
      <c r="K107" s="122"/>
      <c r="L107" s="122"/>
      <c r="M107" s="122"/>
    </row>
    <row r="108" spans="6:13" ht="12.75" customHeight="1" x14ac:dyDescent="0.2">
      <c r="F108" s="36"/>
      <c r="G108" s="36"/>
      <c r="H108" s="36"/>
      <c r="I108" s="104"/>
      <c r="J108" s="122"/>
      <c r="K108" s="122"/>
      <c r="L108" s="122"/>
      <c r="M108" s="122"/>
    </row>
    <row r="109" spans="6:13" ht="12.75" customHeight="1" x14ac:dyDescent="0.2">
      <c r="F109" s="36"/>
      <c r="G109" s="36"/>
      <c r="H109" s="36"/>
      <c r="I109" s="122"/>
      <c r="J109" s="122"/>
      <c r="K109" s="122"/>
      <c r="L109" s="122"/>
      <c r="M109" s="122"/>
    </row>
    <row r="110" spans="6:13" ht="12.75" customHeight="1" x14ac:dyDescent="0.2">
      <c r="F110" s="36"/>
      <c r="G110" s="36"/>
      <c r="H110" s="36"/>
      <c r="I110" s="159"/>
      <c r="J110" s="122"/>
      <c r="K110" s="122"/>
      <c r="L110" s="122"/>
      <c r="M110" s="122"/>
    </row>
    <row r="111" spans="6:13" ht="12.75" customHeight="1" x14ac:dyDescent="0.2">
      <c r="F111" s="36"/>
      <c r="G111" s="36"/>
      <c r="H111" s="36"/>
      <c r="I111" s="104"/>
      <c r="J111" s="122"/>
      <c r="K111" s="122"/>
      <c r="L111" s="122"/>
      <c r="M111" s="122"/>
    </row>
    <row r="112" spans="6:13" ht="12.75" customHeight="1" x14ac:dyDescent="0.2">
      <c r="F112" s="36"/>
      <c r="G112" s="36"/>
      <c r="H112" s="36"/>
      <c r="I112" s="122"/>
      <c r="J112" s="122"/>
      <c r="K112" s="122"/>
      <c r="L112" s="122"/>
      <c r="M112" s="122"/>
    </row>
    <row r="113" spans="6:13" ht="12.75" customHeight="1" x14ac:dyDescent="0.2">
      <c r="F113" s="36"/>
      <c r="G113" s="36"/>
      <c r="H113" s="36"/>
      <c r="I113" s="104"/>
      <c r="J113" s="122"/>
      <c r="K113" s="122"/>
      <c r="L113" s="122"/>
      <c r="M113" s="122"/>
    </row>
    <row r="114" spans="6:13" ht="12.75" customHeight="1" x14ac:dyDescent="0.2">
      <c r="F114" s="36"/>
      <c r="G114" s="36"/>
      <c r="H114" s="36"/>
      <c r="I114" s="159"/>
      <c r="J114" s="122"/>
      <c r="K114" s="122"/>
      <c r="L114" s="122"/>
      <c r="M114" s="122"/>
    </row>
    <row r="115" spans="6:13" ht="12.75" customHeight="1" x14ac:dyDescent="0.2">
      <c r="F115" s="36"/>
      <c r="G115" s="36"/>
      <c r="H115" s="36"/>
      <c r="I115" s="159"/>
      <c r="J115" s="122"/>
      <c r="K115" s="122"/>
      <c r="L115" s="122"/>
      <c r="M115" s="122"/>
    </row>
    <row r="116" spans="6:13" ht="12.75" customHeight="1" x14ac:dyDescent="0.2">
      <c r="F116" s="36"/>
      <c r="G116" s="36"/>
      <c r="H116" s="36"/>
      <c r="I116" s="122"/>
      <c r="J116" s="122"/>
      <c r="K116" s="122"/>
      <c r="L116" s="122"/>
      <c r="M116" s="122"/>
    </row>
    <row r="117" spans="6:13" ht="12.75" customHeight="1" x14ac:dyDescent="0.2">
      <c r="F117" s="36"/>
      <c r="G117" s="36"/>
      <c r="H117" s="36"/>
      <c r="I117" s="104"/>
      <c r="J117" s="122"/>
      <c r="K117" s="122"/>
      <c r="L117" s="122"/>
      <c r="M117" s="122"/>
    </row>
    <row r="118" spans="6:13" ht="12.75" customHeight="1" x14ac:dyDescent="0.2">
      <c r="F118" s="36"/>
      <c r="G118" s="36"/>
      <c r="H118" s="36"/>
      <c r="I118" s="159"/>
      <c r="J118" s="122"/>
      <c r="K118" s="122"/>
      <c r="L118" s="122"/>
      <c r="M118" s="122"/>
    </row>
    <row r="119" spans="6:13" ht="12.75" customHeight="1" x14ac:dyDescent="0.2">
      <c r="F119" s="36"/>
      <c r="G119" s="36"/>
      <c r="H119" s="36"/>
      <c r="I119" s="104"/>
      <c r="J119" s="122"/>
      <c r="K119" s="122"/>
      <c r="L119" s="122"/>
      <c r="M119" s="122"/>
    </row>
    <row r="120" spans="6:13" ht="12.75" customHeight="1" x14ac:dyDescent="0.2">
      <c r="F120" s="36"/>
      <c r="G120" s="36"/>
      <c r="H120" s="36"/>
      <c r="I120" s="122"/>
      <c r="J120" s="122"/>
      <c r="K120" s="122"/>
      <c r="L120" s="122"/>
      <c r="M120" s="122"/>
    </row>
    <row r="121" spans="6:13" ht="12.75" customHeight="1" x14ac:dyDescent="0.2">
      <c r="F121" s="36"/>
      <c r="G121" s="36"/>
      <c r="H121" s="36"/>
      <c r="I121" s="122"/>
      <c r="J121" s="122"/>
      <c r="K121" s="122"/>
      <c r="L121" s="122"/>
      <c r="M121" s="122"/>
    </row>
    <row r="122" spans="6:13" ht="12.75" customHeight="1" x14ac:dyDescent="0.2">
      <c r="F122" s="36"/>
      <c r="G122" s="36"/>
      <c r="H122" s="36"/>
      <c r="I122" s="104"/>
      <c r="J122" s="122"/>
      <c r="K122" s="122"/>
      <c r="L122" s="122"/>
      <c r="M122" s="122"/>
    </row>
    <row r="123" spans="6:13" ht="12.75" customHeight="1" x14ac:dyDescent="0.2">
      <c r="F123" s="36"/>
      <c r="G123" s="36"/>
      <c r="H123" s="36"/>
      <c r="I123" s="104"/>
      <c r="J123" s="122"/>
      <c r="K123" s="122"/>
      <c r="L123" s="122"/>
      <c r="M123" s="122"/>
    </row>
    <row r="124" spans="6:13" ht="12.75" customHeight="1" x14ac:dyDescent="0.2">
      <c r="F124" s="36"/>
      <c r="G124" s="36"/>
      <c r="H124" s="36"/>
      <c r="I124" s="104"/>
      <c r="J124" s="122"/>
      <c r="K124" s="122"/>
      <c r="L124" s="122"/>
      <c r="M124" s="122"/>
    </row>
    <row r="125" spans="6:13" ht="12.75" customHeight="1" x14ac:dyDescent="0.2">
      <c r="F125" s="36"/>
      <c r="G125" s="36"/>
      <c r="H125" s="36"/>
      <c r="I125" s="122"/>
      <c r="J125" s="122"/>
      <c r="K125" s="122"/>
      <c r="L125" s="122"/>
      <c r="M125" s="122"/>
    </row>
    <row r="126" spans="6:13" ht="12.75" customHeight="1" x14ac:dyDescent="0.2">
      <c r="F126" s="36"/>
      <c r="G126" s="36"/>
      <c r="H126" s="36"/>
      <c r="I126" s="122"/>
      <c r="J126" s="122"/>
      <c r="K126" s="122"/>
      <c r="L126" s="122"/>
      <c r="M126" s="122"/>
    </row>
    <row r="127" spans="6:13" ht="12.75" customHeight="1" x14ac:dyDescent="0.2">
      <c r="F127" s="36"/>
      <c r="G127" s="36"/>
      <c r="H127" s="36"/>
      <c r="I127" s="104"/>
      <c r="J127" s="122"/>
      <c r="K127" s="122"/>
      <c r="L127" s="122"/>
      <c r="M127" s="122"/>
    </row>
    <row r="128" spans="6:13" ht="12.75" customHeight="1" x14ac:dyDescent="0.2">
      <c r="F128" s="36"/>
      <c r="G128" s="36"/>
      <c r="H128" s="36"/>
      <c r="I128" s="104"/>
      <c r="J128" s="122"/>
      <c r="K128" s="122"/>
      <c r="L128" s="122"/>
      <c r="M128" s="122"/>
    </row>
    <row r="129" spans="6:17" ht="12.75" customHeight="1" x14ac:dyDescent="0.2">
      <c r="F129" s="36"/>
      <c r="G129" s="36"/>
      <c r="H129" s="36"/>
      <c r="I129" s="104"/>
      <c r="J129" s="122"/>
      <c r="K129" s="122"/>
      <c r="L129" s="122"/>
      <c r="M129" s="122"/>
    </row>
    <row r="130" spans="6:17" ht="12.75" customHeight="1" x14ac:dyDescent="0.2">
      <c r="F130" s="36"/>
      <c r="G130" s="36"/>
      <c r="H130" s="36"/>
      <c r="I130" s="122"/>
      <c r="J130" s="122"/>
      <c r="K130" s="122"/>
      <c r="L130" s="122"/>
      <c r="M130" s="122"/>
    </row>
    <row r="131" spans="6:17" ht="12.75" customHeight="1" x14ac:dyDescent="0.2">
      <c r="F131" s="36"/>
      <c r="G131" s="36"/>
      <c r="H131" s="36"/>
      <c r="I131" s="122"/>
      <c r="J131" s="122"/>
      <c r="K131" s="122"/>
      <c r="L131" s="122"/>
      <c r="M131" s="122"/>
    </row>
    <row r="132" spans="6:17" ht="12.75" customHeight="1" x14ac:dyDescent="0.2">
      <c r="F132" s="36"/>
      <c r="G132" s="36"/>
      <c r="H132" s="36"/>
      <c r="I132" s="104"/>
      <c r="J132" s="122"/>
      <c r="K132" s="122"/>
      <c r="L132" s="122"/>
      <c r="M132" s="122"/>
    </row>
    <row r="133" spans="6:17" ht="12.75" customHeight="1" x14ac:dyDescent="0.2">
      <c r="F133" s="36"/>
      <c r="G133" s="36"/>
      <c r="H133" s="36"/>
      <c r="I133" s="104"/>
      <c r="J133" s="122"/>
      <c r="K133" s="122"/>
      <c r="L133" s="122"/>
      <c r="M133" s="122"/>
    </row>
    <row r="134" spans="6:17" ht="12.75" customHeight="1" x14ac:dyDescent="0.2">
      <c r="F134" s="36"/>
      <c r="G134" s="36"/>
      <c r="H134" s="36"/>
      <c r="I134" s="122"/>
      <c r="J134" s="122"/>
      <c r="K134" s="122"/>
      <c r="L134" s="122"/>
      <c r="M134" s="104"/>
      <c r="O134" s="29"/>
      <c r="P134" s="29"/>
    </row>
    <row r="135" spans="6:17" ht="12.75" customHeight="1" x14ac:dyDescent="0.2">
      <c r="F135" s="36"/>
      <c r="G135" s="36"/>
      <c r="H135" s="36"/>
      <c r="I135" s="122"/>
      <c r="J135" s="122"/>
      <c r="K135" s="122"/>
      <c r="L135" s="122"/>
      <c r="M135" s="104"/>
      <c r="O135" s="29"/>
      <c r="P135" s="29"/>
      <c r="Q135" s="30"/>
    </row>
    <row r="136" spans="6:17" ht="12.75" customHeight="1" x14ac:dyDescent="0.2">
      <c r="F136" s="36"/>
      <c r="G136" s="36"/>
      <c r="H136" s="36"/>
      <c r="I136" s="104"/>
      <c r="J136" s="122"/>
      <c r="K136" s="122"/>
      <c r="L136" s="122"/>
      <c r="M136" s="122"/>
    </row>
    <row r="137" spans="6:17" ht="12.75" customHeight="1" x14ac:dyDescent="0.2">
      <c r="F137" s="36"/>
      <c r="G137" s="36"/>
      <c r="H137" s="36"/>
      <c r="I137" s="104"/>
      <c r="J137" s="104"/>
      <c r="K137" s="122"/>
      <c r="L137" s="122"/>
      <c r="M137" s="122"/>
    </row>
    <row r="138" spans="6:17" ht="12.75" customHeight="1" x14ac:dyDescent="0.2">
      <c r="F138" s="36"/>
      <c r="G138" s="36"/>
      <c r="H138" s="36"/>
      <c r="I138" s="104"/>
      <c r="J138" s="105"/>
      <c r="K138" s="122"/>
      <c r="L138" s="122"/>
      <c r="M138" s="122"/>
    </row>
    <row r="139" spans="6:17" ht="12.75" customHeight="1" x14ac:dyDescent="0.2">
      <c r="F139" s="36"/>
      <c r="G139" s="36"/>
      <c r="H139" s="36"/>
      <c r="I139" s="122"/>
      <c r="J139" s="122"/>
      <c r="K139" s="122"/>
      <c r="L139" s="122"/>
      <c r="M139" s="104"/>
      <c r="O139" s="29"/>
      <c r="P139" s="29"/>
    </row>
    <row r="140" spans="6:17" ht="12.75" customHeight="1" x14ac:dyDescent="0.2">
      <c r="F140" s="36"/>
      <c r="G140" s="36"/>
      <c r="H140" s="36"/>
      <c r="I140" s="122"/>
      <c r="J140" s="122"/>
      <c r="K140" s="122"/>
      <c r="L140" s="122"/>
      <c r="M140" s="104"/>
      <c r="O140" s="29"/>
      <c r="P140" s="29"/>
      <c r="Q140" s="30"/>
    </row>
    <row r="141" spans="6:17" ht="12.75" customHeight="1" x14ac:dyDescent="0.2">
      <c r="F141" s="36"/>
      <c r="G141" s="36"/>
      <c r="H141" s="36"/>
      <c r="I141" s="122"/>
      <c r="J141" s="122"/>
      <c r="K141" s="122"/>
      <c r="L141" s="122"/>
      <c r="M141" s="122"/>
    </row>
    <row r="142" spans="6:17" ht="12.75" customHeight="1" x14ac:dyDescent="0.2">
      <c r="F142" s="36"/>
      <c r="G142" s="36"/>
      <c r="H142" s="36"/>
      <c r="I142" s="122"/>
      <c r="J142" s="122"/>
      <c r="K142" s="122"/>
      <c r="L142" s="122"/>
      <c r="M142" s="122"/>
    </row>
    <row r="143" spans="6:17" ht="12.75" customHeight="1" x14ac:dyDescent="0.2">
      <c r="F143" s="36"/>
      <c r="G143" s="36"/>
      <c r="H143" s="36"/>
      <c r="I143" s="104"/>
      <c r="J143" s="122"/>
      <c r="K143" s="122"/>
      <c r="L143" s="122"/>
      <c r="M143" s="122"/>
    </row>
    <row r="144" spans="6:17" ht="12.75" customHeight="1" x14ac:dyDescent="0.2">
      <c r="F144" s="36"/>
      <c r="G144" s="36"/>
      <c r="H144" s="36"/>
      <c r="I144" s="122"/>
      <c r="J144" s="122"/>
      <c r="K144" s="122"/>
      <c r="L144" s="122"/>
      <c r="M144" s="122"/>
    </row>
    <row r="145" spans="6:13" ht="12.75" customHeight="1" x14ac:dyDescent="0.2">
      <c r="F145" s="36"/>
      <c r="G145" s="36"/>
      <c r="H145" s="36"/>
      <c r="I145" s="104"/>
      <c r="J145" s="122"/>
      <c r="K145" s="122"/>
      <c r="L145" s="122"/>
      <c r="M145" s="122"/>
    </row>
    <row r="146" spans="6:13" ht="12.75" customHeight="1" x14ac:dyDescent="0.2">
      <c r="F146" s="36"/>
      <c r="G146" s="36"/>
      <c r="H146" s="36"/>
      <c r="I146" s="104"/>
      <c r="J146" s="122"/>
      <c r="K146" s="122"/>
      <c r="L146" s="122"/>
      <c r="M146" s="122"/>
    </row>
    <row r="147" spans="6:13" ht="12.75" customHeight="1" x14ac:dyDescent="0.2">
      <c r="F147" s="36"/>
      <c r="G147" s="36"/>
      <c r="H147" s="36"/>
      <c r="I147" s="122"/>
      <c r="J147" s="122"/>
      <c r="K147" s="122"/>
      <c r="L147" s="122"/>
      <c r="M147" s="122"/>
    </row>
    <row r="148" spans="6:13" ht="12.75" customHeight="1" x14ac:dyDescent="0.2">
      <c r="F148" s="36"/>
      <c r="G148" s="36"/>
      <c r="H148" s="36"/>
      <c r="I148" s="122"/>
      <c r="J148" s="122"/>
      <c r="K148" s="122"/>
      <c r="L148" s="122"/>
      <c r="M148" s="122"/>
    </row>
    <row r="149" spans="6:13" ht="12.75" customHeight="1" x14ac:dyDescent="0.2">
      <c r="F149" s="36"/>
      <c r="G149" s="36"/>
      <c r="H149" s="36"/>
      <c r="I149" s="122"/>
      <c r="J149" s="122"/>
      <c r="K149" s="122"/>
      <c r="L149" s="122"/>
      <c r="M149" s="122"/>
    </row>
    <row r="150" spans="6:13" ht="12.75" customHeight="1" x14ac:dyDescent="0.2">
      <c r="F150" s="36"/>
      <c r="G150" s="36"/>
      <c r="H150" s="36"/>
      <c r="I150" s="104"/>
      <c r="J150" s="104"/>
      <c r="K150" s="122"/>
      <c r="L150" s="122"/>
      <c r="M150" s="122"/>
    </row>
    <row r="151" spans="6:13" ht="12.75" customHeight="1" x14ac:dyDescent="0.2">
      <c r="F151" s="36"/>
      <c r="G151" s="36"/>
      <c r="H151" s="36"/>
      <c r="I151" s="122"/>
      <c r="J151" s="104"/>
      <c r="K151" s="122"/>
      <c r="L151" s="122"/>
      <c r="M151" s="122"/>
    </row>
    <row r="152" spans="6:13" ht="12.75" customHeight="1" x14ac:dyDescent="0.2">
      <c r="F152" s="36"/>
      <c r="G152" s="36"/>
      <c r="H152" s="36"/>
      <c r="I152" s="104"/>
      <c r="J152" s="104"/>
      <c r="K152" s="169"/>
      <c r="L152" s="122"/>
      <c r="M152" s="122"/>
    </row>
    <row r="153" spans="6:13" ht="12.75" customHeight="1" x14ac:dyDescent="0.2">
      <c r="F153" s="36"/>
      <c r="G153" s="36"/>
      <c r="H153" s="36"/>
      <c r="I153" s="104"/>
      <c r="J153" s="122"/>
      <c r="K153" s="122"/>
      <c r="L153" s="122"/>
      <c r="M153" s="122"/>
    </row>
    <row r="154" spans="6:13" ht="12.75" customHeight="1" x14ac:dyDescent="0.2">
      <c r="F154" s="36"/>
      <c r="G154" s="36"/>
      <c r="H154" s="36"/>
      <c r="I154" s="122"/>
      <c r="J154" s="122"/>
      <c r="K154" s="122"/>
      <c r="L154" s="122"/>
      <c r="M154" s="122"/>
    </row>
    <row r="155" spans="6:13" ht="12.75" customHeight="1" x14ac:dyDescent="0.2">
      <c r="F155" s="36"/>
      <c r="G155" s="36"/>
      <c r="H155" s="36"/>
      <c r="I155" s="122"/>
      <c r="J155" s="122"/>
      <c r="K155" s="122"/>
      <c r="L155" s="122"/>
      <c r="M155" s="122"/>
    </row>
    <row r="156" spans="6:13" ht="12.75" customHeight="1" x14ac:dyDescent="0.2">
      <c r="F156" s="36"/>
      <c r="G156" s="36"/>
      <c r="H156" s="36"/>
      <c r="I156" s="122"/>
      <c r="J156" s="122"/>
      <c r="K156" s="122"/>
      <c r="L156" s="122"/>
      <c r="M156" s="122"/>
    </row>
    <row r="157" spans="6:13" ht="12.75" customHeight="1" x14ac:dyDescent="0.2">
      <c r="F157" s="36"/>
      <c r="G157" s="36"/>
      <c r="H157" s="36"/>
      <c r="I157" s="104"/>
      <c r="J157" s="122"/>
      <c r="K157" s="122"/>
      <c r="L157" s="122"/>
      <c r="M157" s="122"/>
    </row>
    <row r="158" spans="6:13" ht="12.75" customHeight="1" x14ac:dyDescent="0.2">
      <c r="F158" s="36"/>
      <c r="G158" s="36"/>
      <c r="H158" s="36"/>
      <c r="I158" s="122"/>
      <c r="J158" s="104"/>
      <c r="K158" s="122"/>
      <c r="L158" s="122"/>
      <c r="M158" s="122"/>
    </row>
    <row r="159" spans="6:13" ht="12.75" customHeight="1" x14ac:dyDescent="0.2">
      <c r="F159" s="36"/>
      <c r="G159" s="36"/>
      <c r="H159" s="36"/>
      <c r="I159" s="104"/>
      <c r="J159" s="104"/>
      <c r="K159" s="169"/>
      <c r="L159" s="122"/>
      <c r="M159" s="122"/>
    </row>
    <row r="160" spans="6:13" ht="12.75" customHeight="1" x14ac:dyDescent="0.2">
      <c r="F160" s="36"/>
      <c r="G160" s="36"/>
      <c r="H160" s="36"/>
      <c r="I160" s="104"/>
      <c r="J160" s="122"/>
      <c r="K160" s="122"/>
      <c r="L160" s="122"/>
      <c r="M160" s="122"/>
    </row>
    <row r="161" spans="6:14" ht="12.75" customHeight="1" x14ac:dyDescent="0.2">
      <c r="F161" s="36"/>
      <c r="G161" s="36"/>
      <c r="H161" s="36"/>
      <c r="I161" s="122"/>
      <c r="J161" s="122"/>
      <c r="K161" s="122"/>
      <c r="L161" s="122"/>
      <c r="M161" s="122"/>
    </row>
    <row r="162" spans="6:14" ht="12.75" customHeight="1" x14ac:dyDescent="0.2">
      <c r="F162" s="36"/>
      <c r="G162" s="36"/>
      <c r="H162" s="36"/>
      <c r="I162" s="122"/>
      <c r="J162" s="122"/>
      <c r="K162" s="122"/>
      <c r="L162" s="122"/>
      <c r="M162" s="122"/>
    </row>
    <row r="163" spans="6:14" ht="12.75" customHeight="1" x14ac:dyDescent="0.2">
      <c r="F163" s="36"/>
      <c r="G163" s="36"/>
      <c r="H163" s="36"/>
      <c r="I163" s="159"/>
      <c r="J163" s="104"/>
      <c r="K163" s="122"/>
      <c r="L163" s="122"/>
      <c r="M163" s="122"/>
    </row>
    <row r="164" spans="6:14" ht="12.75" customHeight="1" x14ac:dyDescent="0.2">
      <c r="F164" s="36"/>
      <c r="G164" s="36"/>
      <c r="H164" s="36"/>
      <c r="I164" s="103"/>
      <c r="J164" s="104"/>
      <c r="K164" s="169"/>
      <c r="L164" s="122"/>
      <c r="M164" s="122"/>
    </row>
    <row r="165" spans="6:14" ht="12.75" customHeight="1" x14ac:dyDescent="0.2">
      <c r="F165" s="36"/>
      <c r="G165" s="36"/>
      <c r="H165" s="36"/>
      <c r="I165" s="104"/>
      <c r="J165" s="122"/>
      <c r="K165" s="122"/>
      <c r="L165" s="122"/>
      <c r="M165" s="122"/>
    </row>
    <row r="166" spans="6:14" ht="12.75" customHeight="1" x14ac:dyDescent="0.2">
      <c r="F166" s="36"/>
      <c r="G166" s="36"/>
      <c r="H166" s="36"/>
      <c r="I166" s="122"/>
      <c r="J166" s="122"/>
      <c r="K166" s="122"/>
      <c r="L166" s="122"/>
      <c r="M166" s="122"/>
    </row>
    <row r="167" spans="6:14" ht="12.75" customHeight="1" x14ac:dyDescent="0.2">
      <c r="F167" s="36"/>
      <c r="G167" s="36"/>
      <c r="H167" s="36"/>
      <c r="I167" s="122"/>
      <c r="J167" s="122"/>
      <c r="K167" s="122"/>
      <c r="L167" s="122"/>
      <c r="M167" s="122"/>
    </row>
    <row r="168" spans="6:14" ht="12.75" customHeight="1" x14ac:dyDescent="0.2">
      <c r="F168" s="36"/>
      <c r="G168" s="36"/>
      <c r="H168" s="36"/>
      <c r="I168" s="159"/>
      <c r="J168" s="104"/>
      <c r="K168" s="122"/>
      <c r="L168" s="122"/>
      <c r="M168" s="122"/>
    </row>
    <row r="169" spans="6:14" ht="12.75" customHeight="1" x14ac:dyDescent="0.2">
      <c r="F169" s="36"/>
      <c r="G169" s="36"/>
      <c r="H169" s="36"/>
      <c r="I169" s="103"/>
      <c r="J169" s="104"/>
      <c r="K169" s="169"/>
      <c r="L169" s="122"/>
      <c r="M169" s="122"/>
    </row>
    <row r="170" spans="6:14" ht="12.75" customHeight="1" x14ac:dyDescent="0.2">
      <c r="F170" s="36"/>
      <c r="G170" s="36"/>
      <c r="H170" s="36"/>
      <c r="I170" s="103"/>
      <c r="J170" s="122"/>
      <c r="K170" s="122"/>
      <c r="L170" s="159"/>
      <c r="M170" s="122"/>
    </row>
    <row r="171" spans="6:14" ht="12.75" customHeight="1" x14ac:dyDescent="0.2">
      <c r="F171" s="36"/>
      <c r="G171" s="36"/>
      <c r="H171" s="36"/>
      <c r="I171" s="122"/>
      <c r="J171" s="122"/>
      <c r="K171" s="122"/>
      <c r="L171" s="159"/>
      <c r="M171" s="122"/>
    </row>
    <row r="172" spans="6:14" ht="12.75" customHeight="1" x14ac:dyDescent="0.2">
      <c r="F172" s="36"/>
      <c r="G172" s="36"/>
      <c r="H172" s="36"/>
      <c r="I172" s="122"/>
      <c r="J172" s="122"/>
      <c r="K172" s="122"/>
      <c r="L172" s="159"/>
      <c r="M172" s="159"/>
    </row>
    <row r="173" spans="6:14" ht="12.75" customHeight="1" x14ac:dyDescent="0.2">
      <c r="F173" s="36"/>
      <c r="G173" s="36"/>
      <c r="H173" s="36"/>
      <c r="I173" s="122"/>
      <c r="J173" s="122"/>
      <c r="K173" s="122"/>
      <c r="L173" s="159"/>
      <c r="M173" s="159"/>
      <c r="N173" s="30"/>
    </row>
    <row r="174" spans="6:14" ht="12.75" customHeight="1" x14ac:dyDescent="0.2">
      <c r="F174" s="36"/>
      <c r="G174" s="36"/>
      <c r="H174" s="36"/>
      <c r="I174" s="122"/>
      <c r="J174" s="104"/>
      <c r="K174" s="122"/>
      <c r="L174" s="159"/>
      <c r="M174" s="159"/>
    </row>
    <row r="175" spans="6:14" ht="12.75" customHeight="1" x14ac:dyDescent="0.2">
      <c r="F175" s="36"/>
      <c r="G175" s="36"/>
      <c r="H175" s="36"/>
      <c r="I175" s="122"/>
      <c r="J175" s="105"/>
      <c r="K175" s="122"/>
      <c r="L175" s="159"/>
      <c r="M175" s="159"/>
    </row>
    <row r="176" spans="6:14" ht="12.75" customHeight="1" x14ac:dyDescent="0.2">
      <c r="F176" s="36"/>
      <c r="G176" s="36"/>
      <c r="H176" s="36"/>
      <c r="I176" s="103"/>
      <c r="J176" s="104"/>
      <c r="K176" s="169"/>
      <c r="L176" s="122"/>
      <c r="M176" s="122"/>
    </row>
    <row r="177" spans="6:13" ht="12.75" customHeight="1" x14ac:dyDescent="0.2">
      <c r="F177" s="36"/>
      <c r="G177" s="36"/>
      <c r="H177" s="36"/>
      <c r="I177" s="103"/>
      <c r="J177" s="122"/>
      <c r="K177" s="122"/>
      <c r="L177" s="122"/>
      <c r="M177" s="122"/>
    </row>
    <row r="178" spans="6:13" ht="12.75" customHeight="1" x14ac:dyDescent="0.2">
      <c r="F178" s="36"/>
      <c r="G178" s="36"/>
      <c r="H178" s="36"/>
      <c r="I178" s="122"/>
      <c r="J178" s="122"/>
      <c r="K178" s="122"/>
      <c r="L178" s="122"/>
      <c r="M178" s="122"/>
    </row>
    <row r="179" spans="6:13" ht="12.75" customHeight="1" x14ac:dyDescent="0.2">
      <c r="F179" s="36"/>
      <c r="G179" s="36"/>
      <c r="H179" s="36"/>
      <c r="I179" s="122"/>
      <c r="J179" s="122"/>
      <c r="K179" s="122"/>
      <c r="L179" s="122"/>
      <c r="M179" s="122"/>
    </row>
    <row r="180" spans="6:13" ht="12.75" customHeight="1" x14ac:dyDescent="0.2">
      <c r="F180" s="36"/>
      <c r="G180" s="36"/>
      <c r="H180" s="36"/>
      <c r="I180" s="122"/>
      <c r="J180" s="122"/>
      <c r="K180" s="122"/>
      <c r="L180" s="122"/>
      <c r="M180" s="122"/>
    </row>
    <row r="181" spans="6:13" ht="12.75" customHeight="1" x14ac:dyDescent="0.2">
      <c r="F181" s="36"/>
      <c r="G181" s="36"/>
      <c r="H181" s="36"/>
      <c r="I181" s="103"/>
      <c r="J181" s="122"/>
      <c r="K181" s="122"/>
      <c r="L181" s="122"/>
      <c r="M181" s="122"/>
    </row>
    <row r="182" spans="6:13" ht="12.75" customHeight="1" x14ac:dyDescent="0.2">
      <c r="F182" s="36"/>
      <c r="G182" s="36"/>
      <c r="H182" s="36"/>
      <c r="I182" s="103"/>
      <c r="J182" s="122"/>
      <c r="K182" s="122"/>
      <c r="L182" s="122"/>
      <c r="M182" s="122"/>
    </row>
    <row r="183" spans="6:13" ht="12.75" customHeight="1" x14ac:dyDescent="0.2">
      <c r="F183" s="36"/>
      <c r="G183" s="36"/>
      <c r="H183" s="36"/>
      <c r="I183" s="122"/>
      <c r="J183" s="122"/>
      <c r="K183" s="122"/>
      <c r="L183" s="122"/>
      <c r="M183" s="122"/>
    </row>
    <row r="184" spans="6:13" ht="12.75" customHeight="1" x14ac:dyDescent="0.2">
      <c r="F184" s="36"/>
      <c r="G184" s="36"/>
      <c r="H184" s="36"/>
      <c r="I184" s="122"/>
      <c r="J184" s="122"/>
      <c r="K184" s="122"/>
      <c r="L184" s="122"/>
      <c r="M184" s="122"/>
    </row>
    <row r="185" spans="6:13" ht="12.75" customHeight="1" x14ac:dyDescent="0.2">
      <c r="F185" s="36"/>
      <c r="G185" s="36"/>
      <c r="H185" s="36"/>
      <c r="I185" s="122"/>
      <c r="J185" s="122"/>
      <c r="K185" s="122"/>
      <c r="L185" s="122"/>
      <c r="M185" s="122"/>
    </row>
    <row r="186" spans="6:13" ht="12.75" customHeight="1" x14ac:dyDescent="0.2">
      <c r="F186" s="36"/>
      <c r="G186" s="36"/>
      <c r="H186" s="36"/>
      <c r="I186" s="122"/>
      <c r="J186" s="122"/>
      <c r="K186" s="122"/>
      <c r="L186" s="122"/>
      <c r="M186" s="122"/>
    </row>
    <row r="187" spans="6:13" ht="12.75" customHeight="1" x14ac:dyDescent="0.2">
      <c r="F187" s="36"/>
      <c r="G187" s="36"/>
      <c r="H187" s="36"/>
      <c r="I187" s="103"/>
      <c r="J187" s="122"/>
      <c r="K187" s="122"/>
      <c r="L187" s="122"/>
      <c r="M187" s="122"/>
    </row>
    <row r="188" spans="6:13" ht="12.75" customHeight="1" x14ac:dyDescent="0.2">
      <c r="F188" s="36"/>
      <c r="G188" s="36"/>
      <c r="H188" s="36"/>
      <c r="I188" s="103"/>
      <c r="J188" s="122"/>
      <c r="K188" s="122"/>
      <c r="L188" s="122"/>
      <c r="M188" s="122"/>
    </row>
    <row r="189" spans="6:13" ht="12.75" customHeight="1" x14ac:dyDescent="0.2">
      <c r="F189" s="36"/>
      <c r="G189" s="36"/>
      <c r="H189" s="36"/>
      <c r="I189" s="122"/>
      <c r="J189" s="122"/>
      <c r="K189" s="122"/>
      <c r="L189" s="122"/>
      <c r="M189" s="122"/>
    </row>
    <row r="190" spans="6:13" ht="12.75" customHeight="1" x14ac:dyDescent="0.2">
      <c r="F190" s="36"/>
      <c r="G190" s="36"/>
      <c r="H190" s="36"/>
      <c r="I190" s="122"/>
      <c r="J190" s="122"/>
      <c r="K190" s="159"/>
      <c r="L190" s="159"/>
      <c r="M190" s="122"/>
    </row>
    <row r="191" spans="6:13" ht="12.75" customHeight="1" x14ac:dyDescent="0.2">
      <c r="F191" s="36"/>
      <c r="G191" s="36"/>
      <c r="H191" s="36"/>
      <c r="I191" s="103"/>
      <c r="J191" s="122"/>
      <c r="K191" s="103"/>
      <c r="L191" s="122"/>
      <c r="M191" s="122"/>
    </row>
    <row r="192" spans="6:13" ht="12.75" customHeight="1" x14ac:dyDescent="0.2">
      <c r="F192" s="36"/>
      <c r="G192" s="36"/>
      <c r="H192" s="36"/>
      <c r="I192" s="103"/>
      <c r="J192" s="122"/>
      <c r="K192" s="103"/>
      <c r="L192" s="122"/>
      <c r="M192" s="122"/>
    </row>
    <row r="193" spans="6:14" ht="12.75" customHeight="1" x14ac:dyDescent="0.2">
      <c r="F193" s="36"/>
      <c r="G193" s="36"/>
      <c r="H193" s="36"/>
      <c r="I193" s="122"/>
      <c r="J193" s="122"/>
      <c r="K193" s="122"/>
      <c r="L193" s="122"/>
      <c r="M193" s="122"/>
    </row>
    <row r="194" spans="6:14" ht="12.75" customHeight="1" x14ac:dyDescent="0.2">
      <c r="F194" s="36"/>
      <c r="G194" s="36"/>
      <c r="H194" s="36"/>
      <c r="I194" s="122"/>
      <c r="J194" s="122"/>
      <c r="K194" s="122"/>
      <c r="L194" s="122"/>
      <c r="M194" s="122"/>
    </row>
    <row r="195" spans="6:14" ht="12.75" customHeight="1" x14ac:dyDescent="0.2">
      <c r="F195" s="36"/>
      <c r="G195" s="36"/>
      <c r="H195" s="36"/>
      <c r="I195" s="122"/>
      <c r="J195" s="122"/>
      <c r="K195" s="148"/>
      <c r="L195" s="122"/>
      <c r="M195" s="122"/>
      <c r="N195" s="15"/>
    </row>
    <row r="196" spans="6:14" ht="12.75" customHeight="1" x14ac:dyDescent="0.2">
      <c r="F196" s="36"/>
      <c r="G196" s="36"/>
      <c r="H196" s="36"/>
      <c r="I196" s="122"/>
      <c r="J196" s="122"/>
      <c r="K196" s="148"/>
      <c r="L196" s="122"/>
      <c r="M196" s="148"/>
    </row>
    <row r="197" spans="6:14" ht="12.75" customHeight="1" x14ac:dyDescent="0.2">
      <c r="F197" s="36"/>
      <c r="G197" s="36"/>
      <c r="H197" s="36"/>
      <c r="I197" s="122"/>
      <c r="J197" s="122"/>
      <c r="K197" s="148"/>
      <c r="L197" s="122"/>
      <c r="M197" s="148"/>
    </row>
    <row r="198" spans="6:14" ht="12.75" customHeight="1" x14ac:dyDescent="0.2">
      <c r="F198" s="36"/>
      <c r="G198" s="36"/>
      <c r="H198" s="36"/>
      <c r="I198" s="122"/>
      <c r="J198" s="122"/>
      <c r="K198" s="148"/>
      <c r="L198" s="122"/>
      <c r="M198" s="122"/>
    </row>
    <row r="199" spans="6:14" ht="12.75" customHeight="1" x14ac:dyDescent="0.2">
      <c r="F199" s="36"/>
      <c r="G199" s="36"/>
      <c r="H199" s="36"/>
      <c r="I199" s="122"/>
      <c r="J199" s="122"/>
      <c r="K199" s="148"/>
      <c r="L199" s="122"/>
      <c r="M199" s="148"/>
    </row>
    <row r="200" spans="6:14" ht="12.75" customHeight="1" x14ac:dyDescent="0.2">
      <c r="F200" s="36"/>
      <c r="G200" s="36"/>
      <c r="H200" s="36"/>
      <c r="I200" s="122"/>
      <c r="J200" s="122"/>
      <c r="K200" s="148"/>
      <c r="L200" s="122"/>
      <c r="M200" s="148"/>
    </row>
    <row r="201" spans="6:14" ht="12.75" customHeight="1" x14ac:dyDescent="0.2">
      <c r="F201" s="36"/>
      <c r="G201" s="36"/>
      <c r="H201" s="36"/>
      <c r="I201" s="122"/>
      <c r="J201" s="122"/>
      <c r="K201" s="148"/>
      <c r="L201" s="122"/>
      <c r="M201" s="148"/>
    </row>
    <row r="202" spans="6:14" ht="12.75" customHeight="1" x14ac:dyDescent="0.2">
      <c r="F202" s="36"/>
      <c r="G202" s="36"/>
      <c r="H202" s="36"/>
      <c r="I202" s="122"/>
      <c r="J202" s="122"/>
      <c r="K202" s="148"/>
      <c r="L202" s="122"/>
      <c r="M202" s="148"/>
    </row>
    <row r="203" spans="6:14" ht="12.75" customHeight="1" x14ac:dyDescent="0.2">
      <c r="F203" s="36"/>
      <c r="G203" s="36"/>
      <c r="H203" s="36"/>
      <c r="I203" s="122"/>
      <c r="J203" s="122"/>
      <c r="K203" s="148"/>
      <c r="L203" s="122"/>
      <c r="M203" s="122"/>
    </row>
    <row r="204" spans="6:14" ht="12.75" customHeight="1" x14ac:dyDescent="0.2">
      <c r="F204" s="36"/>
      <c r="G204" s="36"/>
      <c r="H204" s="36"/>
      <c r="I204" s="122"/>
      <c r="J204" s="122"/>
      <c r="K204" s="148"/>
      <c r="L204" s="122"/>
      <c r="M204" s="148"/>
    </row>
    <row r="205" spans="6:14" ht="12.75" customHeight="1" x14ac:dyDescent="0.2">
      <c r="F205" s="36"/>
      <c r="G205" s="36"/>
      <c r="H205" s="36"/>
      <c r="I205" s="122"/>
      <c r="J205" s="122"/>
      <c r="K205" s="148"/>
      <c r="L205" s="122"/>
      <c r="M205" s="122"/>
    </row>
    <row r="206" spans="6:14" ht="12.75" customHeight="1" x14ac:dyDescent="0.2">
      <c r="F206" s="36"/>
      <c r="G206" s="36"/>
      <c r="H206" s="36"/>
      <c r="I206" s="122"/>
      <c r="J206" s="122"/>
      <c r="K206" s="148"/>
      <c r="L206" s="122"/>
      <c r="M206" s="148"/>
    </row>
    <row r="207" spans="6:14" ht="12.75" customHeight="1" x14ac:dyDescent="0.2">
      <c r="F207" s="36"/>
      <c r="G207" s="36"/>
      <c r="H207" s="36"/>
      <c r="I207" s="122"/>
      <c r="J207" s="122"/>
      <c r="K207" s="148"/>
      <c r="L207" s="122"/>
      <c r="M207" s="122"/>
    </row>
    <row r="208" spans="6:14" ht="12.75" customHeight="1" x14ac:dyDescent="0.2">
      <c r="F208" s="36"/>
      <c r="G208" s="36"/>
      <c r="H208" s="36"/>
      <c r="I208" s="122"/>
      <c r="J208" s="122"/>
      <c r="K208" s="148"/>
      <c r="L208" s="122"/>
      <c r="M208" s="148"/>
    </row>
    <row r="209" spans="6:13" ht="12.75" customHeight="1" x14ac:dyDescent="0.2">
      <c r="F209" s="36"/>
      <c r="G209" s="36"/>
      <c r="H209" s="36"/>
      <c r="I209" s="122"/>
      <c r="J209" s="122"/>
      <c r="K209" s="148"/>
      <c r="L209" s="122"/>
      <c r="M209" s="122"/>
    </row>
    <row r="210" spans="6:13" ht="12.75" customHeight="1" x14ac:dyDescent="0.2">
      <c r="F210" s="36"/>
      <c r="G210" s="36"/>
      <c r="H210" s="36"/>
      <c r="I210" s="122"/>
      <c r="J210" s="122"/>
      <c r="K210" s="148"/>
      <c r="L210" s="122"/>
      <c r="M210" s="148"/>
    </row>
    <row r="211" spans="6:13" ht="12.75" customHeight="1" x14ac:dyDescent="0.2">
      <c r="F211" s="36"/>
      <c r="G211" s="36"/>
      <c r="H211" s="36"/>
      <c r="I211" s="122"/>
      <c r="J211" s="122"/>
      <c r="K211" s="148"/>
      <c r="L211" s="122"/>
      <c r="M211" s="122"/>
    </row>
    <row r="212" spans="6:13" ht="12.75" customHeight="1" x14ac:dyDescent="0.2">
      <c r="F212" s="36"/>
      <c r="G212" s="36"/>
      <c r="H212" s="36"/>
      <c r="I212" s="122"/>
      <c r="J212" s="122"/>
      <c r="K212" s="148"/>
      <c r="L212" s="122"/>
      <c r="M212" s="148"/>
    </row>
    <row r="213" spans="6:13" ht="12.75" customHeight="1" x14ac:dyDescent="0.2">
      <c r="F213" s="36"/>
      <c r="G213" s="36"/>
      <c r="H213" s="36"/>
      <c r="I213" s="122"/>
      <c r="J213" s="122"/>
      <c r="K213" s="148"/>
      <c r="L213" s="122"/>
      <c r="M213" s="122"/>
    </row>
    <row r="214" spans="6:13" ht="12.75" customHeight="1" x14ac:dyDescent="0.2">
      <c r="F214" s="36"/>
      <c r="G214" s="36"/>
      <c r="H214" s="36"/>
      <c r="I214" s="122"/>
      <c r="J214" s="122"/>
      <c r="K214" s="148"/>
      <c r="L214" s="122"/>
      <c r="M214" s="148"/>
    </row>
    <row r="215" spans="6:13" ht="12.75" customHeight="1" x14ac:dyDescent="0.2">
      <c r="F215" s="36"/>
      <c r="G215" s="36"/>
      <c r="H215" s="36"/>
      <c r="I215" s="122"/>
      <c r="J215" s="122"/>
      <c r="K215" s="148"/>
      <c r="L215" s="122"/>
      <c r="M215" s="122"/>
    </row>
    <row r="216" spans="6:13" ht="12.75" customHeight="1" x14ac:dyDescent="0.2">
      <c r="F216" s="36"/>
      <c r="G216" s="36"/>
      <c r="H216" s="36"/>
      <c r="I216" s="122"/>
      <c r="J216" s="122"/>
      <c r="K216" s="148"/>
      <c r="L216" s="122"/>
      <c r="M216" s="148"/>
    </row>
    <row r="217" spans="6:13" ht="12.75" customHeight="1" x14ac:dyDescent="0.2">
      <c r="F217" s="36"/>
      <c r="G217" s="36"/>
      <c r="H217" s="36"/>
      <c r="I217" s="122"/>
      <c r="J217" s="122"/>
      <c r="K217" s="148"/>
      <c r="L217" s="122"/>
      <c r="M217" s="122"/>
    </row>
    <row r="218" spans="6:13" ht="12.75" customHeight="1" x14ac:dyDescent="0.2">
      <c r="F218" s="36"/>
      <c r="G218" s="36"/>
      <c r="H218" s="36"/>
      <c r="I218" s="122"/>
      <c r="J218" s="122"/>
      <c r="K218" s="148"/>
      <c r="L218" s="122"/>
      <c r="M218" s="148"/>
    </row>
    <row r="219" spans="6:13" ht="12.75" customHeight="1" x14ac:dyDescent="0.2">
      <c r="F219" s="36"/>
      <c r="G219" s="36"/>
      <c r="H219" s="36"/>
      <c r="I219" s="122"/>
      <c r="J219" s="122"/>
      <c r="K219" s="148"/>
      <c r="L219" s="122"/>
      <c r="M219" s="122"/>
    </row>
    <row r="220" spans="6:13" ht="12.75" customHeight="1" x14ac:dyDescent="0.2">
      <c r="F220" s="36"/>
      <c r="G220" s="36"/>
      <c r="H220" s="36"/>
      <c r="I220" s="122"/>
      <c r="J220" s="122"/>
      <c r="K220" s="148"/>
      <c r="L220" s="122"/>
      <c r="M220" s="148"/>
    </row>
    <row r="221" spans="6:13" ht="12.75" customHeight="1" x14ac:dyDescent="0.2">
      <c r="F221" s="36"/>
      <c r="G221" s="36"/>
      <c r="H221" s="36"/>
      <c r="I221" s="122"/>
      <c r="J221" s="122"/>
      <c r="K221" s="148"/>
      <c r="L221" s="122"/>
      <c r="M221" s="122"/>
    </row>
    <row r="222" spans="6:13" ht="12.75" customHeight="1" x14ac:dyDescent="0.2">
      <c r="F222" s="36"/>
      <c r="G222" s="36"/>
      <c r="H222" s="36"/>
      <c r="I222" s="122"/>
      <c r="J222" s="122"/>
      <c r="K222" s="148"/>
      <c r="L222" s="122"/>
      <c r="M222" s="148"/>
    </row>
    <row r="223" spans="6:13" ht="12.75" customHeight="1" x14ac:dyDescent="0.2">
      <c r="F223" s="36"/>
      <c r="G223" s="36"/>
      <c r="H223" s="36"/>
      <c r="I223" s="122"/>
      <c r="J223" s="122"/>
      <c r="K223" s="148"/>
      <c r="L223" s="122"/>
      <c r="M223" s="122"/>
    </row>
    <row r="224" spans="6:13" ht="12.75" customHeight="1" x14ac:dyDescent="0.2">
      <c r="F224" s="36"/>
      <c r="G224" s="36"/>
      <c r="H224" s="36"/>
      <c r="I224" s="122"/>
      <c r="J224" s="122"/>
      <c r="K224" s="148"/>
      <c r="L224" s="122"/>
      <c r="M224" s="148"/>
    </row>
    <row r="225" spans="6:13" ht="12.75" customHeight="1" x14ac:dyDescent="0.2">
      <c r="F225" s="36"/>
      <c r="G225" s="36"/>
      <c r="H225" s="36"/>
      <c r="I225" s="122"/>
      <c r="J225" s="122"/>
      <c r="K225" s="148"/>
      <c r="L225" s="122"/>
      <c r="M225" s="122"/>
    </row>
    <row r="226" spans="6:13" ht="12.75" customHeight="1" x14ac:dyDescent="0.2">
      <c r="F226" s="36"/>
      <c r="G226" s="36"/>
      <c r="H226" s="36"/>
      <c r="I226" s="122"/>
      <c r="J226" s="122"/>
      <c r="K226" s="148"/>
      <c r="L226" s="122"/>
      <c r="M226" s="148"/>
    </row>
    <row r="227" spans="6:13" ht="12.75" customHeight="1" x14ac:dyDescent="0.2">
      <c r="F227" s="36"/>
      <c r="G227" s="36"/>
      <c r="H227" s="36"/>
      <c r="I227" s="122"/>
      <c r="J227" s="122"/>
      <c r="K227" s="148"/>
      <c r="L227" s="122"/>
      <c r="M227" s="148"/>
    </row>
    <row r="228" spans="6:13" ht="12" customHeight="1" x14ac:dyDescent="0.2">
      <c r="F228" s="36"/>
      <c r="G228" s="36"/>
      <c r="H228" s="36"/>
      <c r="I228" s="122"/>
      <c r="J228" s="122"/>
      <c r="K228" s="148"/>
      <c r="L228" s="122"/>
      <c r="M228" s="122"/>
    </row>
    <row r="229" spans="6:13" ht="12.75" customHeight="1" x14ac:dyDescent="0.2">
      <c r="F229" s="36"/>
      <c r="G229" s="36"/>
      <c r="H229" s="36"/>
      <c r="I229" s="122"/>
      <c r="J229" s="122"/>
      <c r="K229" s="148"/>
      <c r="L229" s="122"/>
      <c r="M229" s="148"/>
    </row>
    <row r="230" spans="6:13" ht="12" customHeight="1" x14ac:dyDescent="0.2">
      <c r="F230" s="36"/>
      <c r="G230" s="36"/>
      <c r="H230" s="36"/>
      <c r="I230" s="122"/>
      <c r="J230" s="122"/>
      <c r="K230" s="148"/>
      <c r="L230" s="122"/>
      <c r="M230" s="122"/>
    </row>
    <row r="231" spans="6:13" ht="12.75" customHeight="1" x14ac:dyDescent="0.2">
      <c r="F231" s="36"/>
      <c r="G231" s="36"/>
      <c r="H231" s="36"/>
      <c r="I231" s="122"/>
      <c r="J231" s="122"/>
      <c r="K231" s="148"/>
      <c r="L231" s="122"/>
      <c r="M231" s="148"/>
    </row>
    <row r="232" spans="6:13" ht="12" customHeight="1" x14ac:dyDescent="0.2">
      <c r="F232" s="36"/>
      <c r="G232" s="36"/>
      <c r="H232" s="36"/>
      <c r="I232" s="122"/>
      <c r="J232" s="122"/>
      <c r="K232" s="148"/>
      <c r="L232" s="122"/>
      <c r="M232" s="122"/>
    </row>
    <row r="233" spans="6:13" ht="12.75" customHeight="1" x14ac:dyDescent="0.2">
      <c r="F233" s="36"/>
      <c r="G233" s="36"/>
      <c r="H233" s="36"/>
      <c r="I233" s="122"/>
      <c r="J233" s="122"/>
      <c r="K233" s="148"/>
      <c r="L233" s="122"/>
      <c r="M233" s="148"/>
    </row>
    <row r="234" spans="6:13" ht="12" customHeight="1" x14ac:dyDescent="0.2">
      <c r="F234" s="36"/>
      <c r="G234" s="36"/>
      <c r="H234" s="36"/>
      <c r="I234" s="122"/>
      <c r="J234" s="122"/>
      <c r="K234" s="148"/>
      <c r="L234" s="122"/>
      <c r="M234" s="122"/>
    </row>
    <row r="235" spans="6:13" ht="12.75" customHeight="1" x14ac:dyDescent="0.2">
      <c r="F235" s="36"/>
      <c r="G235" s="36"/>
      <c r="H235" s="36"/>
      <c r="I235" s="122"/>
      <c r="J235" s="122"/>
      <c r="K235" s="148"/>
      <c r="L235" s="122"/>
      <c r="M235" s="148"/>
    </row>
    <row r="236" spans="6:13" ht="12" customHeight="1" x14ac:dyDescent="0.2">
      <c r="F236" s="36"/>
      <c r="G236" s="36"/>
      <c r="H236" s="36"/>
      <c r="I236" s="122"/>
      <c r="J236" s="122"/>
      <c r="K236" s="148"/>
      <c r="L236" s="122"/>
      <c r="M236" s="122"/>
    </row>
    <row r="237" spans="6:13" ht="12.75" customHeight="1" x14ac:dyDescent="0.2">
      <c r="F237" s="36"/>
      <c r="G237" s="36"/>
      <c r="H237" s="36"/>
      <c r="I237" s="122"/>
      <c r="J237" s="122"/>
      <c r="K237" s="122"/>
      <c r="L237" s="122"/>
      <c r="M237" s="122"/>
    </row>
    <row r="238" spans="6:13" ht="12.75" customHeight="1" x14ac:dyDescent="0.2">
      <c r="F238" s="36"/>
      <c r="G238" s="36"/>
      <c r="H238" s="36"/>
      <c r="I238" s="122"/>
      <c r="J238" s="122"/>
      <c r="K238" s="122"/>
      <c r="L238" s="122"/>
      <c r="M238" s="122"/>
    </row>
    <row r="239" spans="6:13" ht="12.75" customHeight="1" x14ac:dyDescent="0.2">
      <c r="F239" s="36"/>
      <c r="G239" s="36"/>
      <c r="H239" s="36"/>
      <c r="I239" s="122"/>
      <c r="J239" s="122"/>
      <c r="K239" s="122"/>
      <c r="L239" s="122"/>
      <c r="M239" s="122"/>
    </row>
    <row r="240" spans="6:13" ht="12.75" customHeight="1" x14ac:dyDescent="0.2">
      <c r="F240" s="36"/>
      <c r="G240" s="36"/>
      <c r="H240" s="36"/>
      <c r="I240" s="122"/>
      <c r="J240" s="122"/>
      <c r="K240" s="122"/>
      <c r="L240" s="122"/>
      <c r="M240" s="122"/>
    </row>
    <row r="241" spans="6:13" ht="12.75" customHeight="1" x14ac:dyDescent="0.2">
      <c r="F241" s="36"/>
      <c r="G241" s="36"/>
      <c r="H241" s="36"/>
      <c r="I241" s="122"/>
      <c r="J241" s="122"/>
      <c r="K241" s="122"/>
      <c r="L241" s="122"/>
      <c r="M241" s="122"/>
    </row>
    <row r="242" spans="6:13" ht="12.75" customHeight="1" x14ac:dyDescent="0.2">
      <c r="F242" s="36"/>
      <c r="G242" s="36"/>
      <c r="H242" s="36"/>
      <c r="I242" s="122"/>
      <c r="J242" s="122"/>
      <c r="K242" s="148"/>
      <c r="L242" s="122"/>
      <c r="M242" s="148"/>
    </row>
    <row r="243" spans="6:13" ht="12" customHeight="1" x14ac:dyDescent="0.2">
      <c r="F243" s="36"/>
      <c r="G243" s="36"/>
      <c r="H243" s="36"/>
      <c r="I243" s="122"/>
      <c r="J243" s="122"/>
      <c r="K243" s="148"/>
      <c r="L243" s="122"/>
      <c r="M243" s="122"/>
    </row>
    <row r="244" spans="6:13" ht="12.75" customHeight="1" x14ac:dyDescent="0.2">
      <c r="F244" s="36"/>
      <c r="G244" s="36"/>
      <c r="H244" s="36"/>
      <c r="I244" s="122"/>
      <c r="J244" s="122"/>
      <c r="K244" s="159"/>
      <c r="L244" s="159"/>
      <c r="M244" s="122"/>
    </row>
    <row r="245" spans="6:13" ht="12.75" customHeight="1" x14ac:dyDescent="0.2">
      <c r="F245" s="36"/>
      <c r="G245" s="36"/>
      <c r="H245" s="36"/>
      <c r="I245" s="122"/>
      <c r="J245" s="122"/>
      <c r="K245" s="148"/>
      <c r="L245" s="122"/>
      <c r="M245" s="148"/>
    </row>
    <row r="246" spans="6:13" ht="12.75" customHeight="1" x14ac:dyDescent="0.2">
      <c r="F246" s="36"/>
      <c r="G246" s="36"/>
      <c r="H246" s="36"/>
      <c r="I246" s="122"/>
      <c r="J246" s="122"/>
      <c r="K246" s="122"/>
      <c r="L246" s="122"/>
      <c r="M246" s="122"/>
    </row>
    <row r="247" spans="6:13" ht="12.75" customHeight="1" x14ac:dyDescent="0.2">
      <c r="F247" s="36"/>
      <c r="G247" s="36"/>
      <c r="H247" s="36"/>
      <c r="I247" s="122"/>
      <c r="J247" s="122"/>
      <c r="K247" s="122"/>
      <c r="L247" s="122"/>
      <c r="M247" s="122"/>
    </row>
    <row r="248" spans="6:13" ht="12.75" customHeight="1" x14ac:dyDescent="0.2">
      <c r="F248" s="36"/>
      <c r="G248" s="36"/>
      <c r="H248" s="36"/>
      <c r="I248" s="122"/>
      <c r="J248" s="122"/>
      <c r="K248" s="122"/>
      <c r="L248" s="122"/>
      <c r="M248" s="122"/>
    </row>
    <row r="249" spans="6:13" ht="12.75" customHeight="1" x14ac:dyDescent="0.2">
      <c r="F249" s="36"/>
      <c r="G249" s="36"/>
      <c r="H249" s="36"/>
      <c r="I249" s="122"/>
      <c r="J249" s="122"/>
      <c r="K249" s="122"/>
      <c r="L249" s="122"/>
      <c r="M249" s="122"/>
    </row>
    <row r="250" spans="6:13" ht="12.75" customHeight="1" x14ac:dyDescent="0.2">
      <c r="F250" s="36"/>
      <c r="G250" s="36"/>
      <c r="H250" s="36"/>
      <c r="I250" s="122"/>
      <c r="J250" s="122"/>
      <c r="K250" s="122"/>
      <c r="L250" s="122"/>
      <c r="M250" s="122"/>
    </row>
    <row r="251" spans="6:13" ht="12.75" customHeight="1" x14ac:dyDescent="0.2">
      <c r="F251" s="36"/>
      <c r="G251" s="36"/>
      <c r="H251" s="36"/>
      <c r="I251" s="122"/>
      <c r="J251" s="122"/>
      <c r="K251" s="122"/>
      <c r="L251" s="122"/>
      <c r="M251" s="122"/>
    </row>
    <row r="252" spans="6:13" ht="12.75" customHeight="1" x14ac:dyDescent="0.2">
      <c r="F252" s="36"/>
      <c r="G252" s="36"/>
      <c r="H252" s="36"/>
      <c r="I252" s="122"/>
      <c r="J252" s="122"/>
      <c r="K252" s="122"/>
      <c r="L252" s="122"/>
      <c r="M252" s="122"/>
    </row>
    <row r="253" spans="6:13" ht="12.75" customHeight="1" x14ac:dyDescent="0.2">
      <c r="F253" s="36"/>
      <c r="G253" s="36"/>
      <c r="H253" s="36"/>
      <c r="I253" s="122"/>
      <c r="J253" s="122"/>
      <c r="K253" s="122"/>
      <c r="L253" s="122"/>
      <c r="M253" s="122"/>
    </row>
    <row r="254" spans="6:13" ht="12.75" customHeight="1" x14ac:dyDescent="0.2">
      <c r="F254" s="36"/>
      <c r="G254" s="36"/>
      <c r="H254" s="36"/>
      <c r="I254" s="122"/>
      <c r="J254" s="122"/>
      <c r="K254" s="122"/>
      <c r="L254" s="122"/>
      <c r="M254" s="122"/>
    </row>
    <row r="255" spans="6:13" ht="12.75" customHeight="1" x14ac:dyDescent="0.2">
      <c r="F255" s="36"/>
      <c r="G255" s="36"/>
      <c r="H255" s="36"/>
      <c r="I255" s="122"/>
      <c r="J255" s="122"/>
      <c r="K255" s="122"/>
      <c r="L255" s="122"/>
      <c r="M255" s="122"/>
    </row>
    <row r="256" spans="6:13" ht="12.75" customHeight="1" x14ac:dyDescent="0.2">
      <c r="F256" s="36"/>
      <c r="G256" s="36"/>
      <c r="H256" s="36"/>
      <c r="I256" s="122"/>
      <c r="J256" s="122"/>
      <c r="K256" s="122"/>
      <c r="L256" s="122"/>
      <c r="M256" s="122"/>
    </row>
    <row r="257" spans="6:13" ht="12.75" customHeight="1" x14ac:dyDescent="0.2">
      <c r="F257" s="36"/>
      <c r="G257" s="36"/>
      <c r="H257" s="36"/>
      <c r="I257" s="122"/>
      <c r="J257" s="122"/>
      <c r="K257" s="122"/>
      <c r="L257" s="122"/>
      <c r="M257" s="122"/>
    </row>
    <row r="258" spans="6:13" ht="12.75" customHeight="1" x14ac:dyDescent="0.2">
      <c r="F258" s="36"/>
      <c r="G258" s="36"/>
      <c r="H258" s="36"/>
      <c r="I258" s="122"/>
      <c r="J258" s="122"/>
      <c r="K258" s="122"/>
      <c r="L258" s="122"/>
      <c r="M258" s="122"/>
    </row>
    <row r="259" spans="6:13" ht="12.75" customHeight="1" x14ac:dyDescent="0.2">
      <c r="F259" s="36"/>
      <c r="G259" s="36"/>
      <c r="H259" s="36"/>
      <c r="I259" s="122"/>
      <c r="J259" s="122"/>
      <c r="K259" s="122"/>
      <c r="L259" s="122"/>
      <c r="M259" s="122"/>
    </row>
    <row r="260" spans="6:13" ht="12.75" customHeight="1" x14ac:dyDescent="0.2">
      <c r="F260" s="36"/>
      <c r="G260" s="36"/>
      <c r="H260" s="36"/>
      <c r="I260" s="122"/>
      <c r="J260" s="122"/>
      <c r="K260" s="122"/>
      <c r="L260" s="122"/>
      <c r="M260" s="122"/>
    </row>
    <row r="261" spans="6:13" ht="12.75" customHeight="1" x14ac:dyDescent="0.2">
      <c r="F261" s="36"/>
      <c r="G261" s="36"/>
      <c r="H261" s="36"/>
      <c r="I261" s="122"/>
      <c r="J261" s="122"/>
      <c r="K261" s="122"/>
      <c r="L261" s="122"/>
      <c r="M261" s="122"/>
    </row>
    <row r="262" spans="6:13" ht="12.75" customHeight="1" x14ac:dyDescent="0.2">
      <c r="F262" s="36"/>
      <c r="G262" s="36"/>
      <c r="H262" s="36"/>
      <c r="I262" s="122"/>
      <c r="J262" s="122"/>
      <c r="K262" s="122"/>
      <c r="L262" s="122"/>
      <c r="M262" s="122"/>
    </row>
    <row r="263" spans="6:13" ht="12.75" customHeight="1" x14ac:dyDescent="0.2">
      <c r="F263" s="36"/>
      <c r="G263" s="36"/>
      <c r="H263" s="36"/>
      <c r="I263" s="122"/>
      <c r="J263" s="122"/>
      <c r="K263" s="122"/>
      <c r="L263" s="122"/>
      <c r="M263" s="122"/>
    </row>
    <row r="264" spans="6:13" ht="12.75" customHeight="1" x14ac:dyDescent="0.2">
      <c r="F264" s="36"/>
      <c r="G264" s="36"/>
      <c r="H264" s="36"/>
      <c r="I264" s="122"/>
      <c r="J264" s="122"/>
      <c r="K264" s="122"/>
      <c r="L264" s="122"/>
      <c r="M264" s="122"/>
    </row>
    <row r="265" spans="6:13" ht="12.75" customHeight="1" x14ac:dyDescent="0.2">
      <c r="F265" s="36"/>
      <c r="G265" s="36"/>
      <c r="H265" s="36"/>
      <c r="I265" s="122"/>
      <c r="J265" s="122"/>
      <c r="K265" s="122"/>
      <c r="L265" s="122"/>
      <c r="M265" s="122"/>
    </row>
    <row r="266" spans="6:13" ht="12.75" customHeight="1" x14ac:dyDescent="0.2">
      <c r="F266" s="36"/>
      <c r="G266" s="36"/>
      <c r="H266" s="36"/>
      <c r="I266" s="122"/>
      <c r="J266" s="122"/>
      <c r="K266" s="122"/>
      <c r="L266" s="122"/>
      <c r="M266" s="122"/>
    </row>
    <row r="267" spans="6:13" ht="12.75" customHeight="1" x14ac:dyDescent="0.2">
      <c r="F267" s="36"/>
      <c r="G267" s="36"/>
      <c r="H267" s="36"/>
      <c r="I267" s="122"/>
      <c r="J267" s="122"/>
      <c r="K267" s="122"/>
      <c r="L267" s="122"/>
      <c r="M267" s="122"/>
    </row>
    <row r="268" spans="6:13" ht="12.75" customHeight="1" x14ac:dyDescent="0.2">
      <c r="F268" s="36"/>
      <c r="G268" s="36"/>
      <c r="H268" s="36"/>
      <c r="I268" s="122"/>
      <c r="J268" s="122"/>
      <c r="K268" s="122"/>
      <c r="L268" s="122"/>
      <c r="M268" s="122"/>
    </row>
    <row r="269" spans="6:13" ht="12.75" customHeight="1" x14ac:dyDescent="0.2">
      <c r="F269" s="36"/>
      <c r="G269" s="36"/>
      <c r="H269" s="36"/>
      <c r="I269" s="122"/>
      <c r="J269" s="122"/>
      <c r="K269" s="122"/>
      <c r="L269" s="122"/>
      <c r="M269" s="122"/>
    </row>
    <row r="270" spans="6:13" ht="12.75" customHeight="1" x14ac:dyDescent="0.2">
      <c r="F270" s="36"/>
      <c r="G270" s="36"/>
      <c r="H270" s="36"/>
      <c r="I270" s="122"/>
      <c r="J270" s="122"/>
      <c r="K270" s="122"/>
      <c r="L270" s="122"/>
      <c r="M270" s="122"/>
    </row>
    <row r="271" spans="6:13" ht="12.75" customHeight="1" x14ac:dyDescent="0.2">
      <c r="F271" s="36"/>
      <c r="G271" s="36"/>
      <c r="H271" s="36"/>
      <c r="I271" s="122"/>
      <c r="J271" s="122"/>
      <c r="K271" s="122"/>
      <c r="L271" s="122"/>
      <c r="M271" s="122"/>
    </row>
    <row r="272" spans="6:13" ht="12.75" customHeight="1" x14ac:dyDescent="0.2">
      <c r="F272" s="36"/>
      <c r="G272" s="36"/>
      <c r="H272" s="36"/>
      <c r="I272" s="122"/>
      <c r="J272" s="122"/>
      <c r="K272" s="122"/>
      <c r="L272" s="122"/>
      <c r="M272" s="122"/>
    </row>
    <row r="273" spans="6:13" ht="12.75" customHeight="1" x14ac:dyDescent="0.2">
      <c r="F273" s="36"/>
      <c r="G273" s="36"/>
      <c r="H273" s="36"/>
      <c r="I273" s="122"/>
      <c r="J273" s="122"/>
      <c r="K273" s="122"/>
      <c r="L273" s="122"/>
      <c r="M273" s="122"/>
    </row>
    <row r="274" spans="6:13" ht="12.75" customHeight="1" x14ac:dyDescent="0.2">
      <c r="F274" s="36"/>
      <c r="G274" s="36"/>
      <c r="H274" s="36"/>
      <c r="I274" s="122"/>
      <c r="J274" s="122"/>
      <c r="K274" s="122"/>
      <c r="L274" s="122"/>
      <c r="M274" s="122"/>
    </row>
    <row r="275" spans="6:13" ht="12.75" customHeight="1" x14ac:dyDescent="0.2">
      <c r="F275" s="36"/>
      <c r="G275" s="36"/>
      <c r="H275" s="36"/>
      <c r="I275" s="122"/>
      <c r="J275" s="122"/>
      <c r="K275" s="122"/>
      <c r="L275" s="122"/>
      <c r="M275" s="122"/>
    </row>
    <row r="276" spans="6:13" ht="12.75" customHeight="1" x14ac:dyDescent="0.2">
      <c r="F276" s="36"/>
      <c r="G276" s="36"/>
      <c r="H276" s="36"/>
      <c r="I276" s="122"/>
      <c r="J276" s="122"/>
      <c r="K276" s="122"/>
      <c r="L276" s="122"/>
      <c r="M276" s="122"/>
    </row>
    <row r="277" spans="6:13" ht="12.75" customHeight="1" x14ac:dyDescent="0.2">
      <c r="F277" s="36"/>
      <c r="G277" s="36"/>
      <c r="H277" s="36"/>
      <c r="I277" s="122"/>
      <c r="J277" s="122"/>
      <c r="K277" s="122"/>
      <c r="L277" s="122"/>
      <c r="M277" s="122"/>
    </row>
    <row r="278" spans="6:13" ht="12.75" customHeight="1" x14ac:dyDescent="0.2">
      <c r="F278" s="36"/>
      <c r="G278" s="36"/>
      <c r="H278" s="36"/>
      <c r="I278" s="122"/>
      <c r="J278" s="122"/>
      <c r="K278" s="122"/>
      <c r="L278" s="122"/>
      <c r="M278" s="122"/>
    </row>
    <row r="279" spans="6:13" ht="12.75" customHeight="1" x14ac:dyDescent="0.2">
      <c r="F279" s="36"/>
      <c r="G279" s="36"/>
      <c r="H279" s="36"/>
      <c r="I279" s="122"/>
      <c r="J279" s="122"/>
      <c r="K279" s="122"/>
      <c r="L279" s="122"/>
      <c r="M279" s="122"/>
    </row>
    <row r="280" spans="6:13" ht="12.75" customHeight="1" x14ac:dyDescent="0.2">
      <c r="F280" s="36"/>
      <c r="G280" s="36"/>
      <c r="H280" s="36"/>
      <c r="I280" s="122"/>
      <c r="J280" s="122"/>
      <c r="K280" s="122"/>
      <c r="L280" s="122"/>
      <c r="M280" s="122"/>
    </row>
    <row r="281" spans="6:13" ht="12.75" customHeight="1" x14ac:dyDescent="0.2">
      <c r="F281" s="36"/>
      <c r="G281" s="36"/>
      <c r="H281" s="36"/>
      <c r="I281" s="122"/>
      <c r="J281" s="122"/>
      <c r="K281" s="122"/>
      <c r="L281" s="122"/>
      <c r="M281" s="122"/>
    </row>
    <row r="282" spans="6:13" ht="12.75" customHeight="1" x14ac:dyDescent="0.2">
      <c r="F282" s="36"/>
      <c r="G282" s="36"/>
      <c r="H282" s="36"/>
      <c r="I282" s="122"/>
      <c r="J282" s="122"/>
      <c r="K282" s="122"/>
      <c r="L282" s="122"/>
      <c r="M282" s="122"/>
    </row>
    <row r="283" spans="6:13" ht="12.75" customHeight="1" x14ac:dyDescent="0.2">
      <c r="F283" s="36"/>
      <c r="G283" s="36"/>
      <c r="H283" s="36"/>
      <c r="I283" s="122"/>
      <c r="J283" s="122"/>
      <c r="K283" s="122"/>
      <c r="L283" s="122"/>
      <c r="M283" s="122"/>
    </row>
    <row r="284" spans="6:13" ht="12.75" customHeight="1" x14ac:dyDescent="0.2">
      <c r="F284" s="36"/>
      <c r="G284" s="36"/>
      <c r="H284" s="36"/>
      <c r="I284" s="122"/>
      <c r="J284" s="122"/>
      <c r="K284" s="122"/>
      <c r="L284" s="122"/>
      <c r="M284" s="122"/>
    </row>
    <row r="285" spans="6:13" ht="12.75" customHeight="1" x14ac:dyDescent="0.2">
      <c r="F285" s="36"/>
      <c r="G285" s="36"/>
      <c r="H285" s="36"/>
      <c r="I285" s="122"/>
      <c r="J285" s="122"/>
      <c r="K285" s="122"/>
      <c r="L285" s="122"/>
      <c r="M285" s="122"/>
    </row>
    <row r="286" spans="6:13" ht="12.75" customHeight="1" x14ac:dyDescent="0.2">
      <c r="F286" s="36"/>
      <c r="G286" s="36"/>
      <c r="H286" s="36"/>
      <c r="I286" s="122"/>
      <c r="J286" s="122"/>
      <c r="K286" s="122"/>
      <c r="L286" s="122"/>
      <c r="M286" s="122"/>
    </row>
    <row r="287" spans="6:13" ht="12.75" customHeight="1" x14ac:dyDescent="0.2">
      <c r="F287" s="36"/>
      <c r="G287" s="36"/>
      <c r="H287" s="36"/>
      <c r="I287" s="122"/>
      <c r="J287" s="122"/>
      <c r="K287" s="122"/>
      <c r="L287" s="122"/>
      <c r="M287" s="122"/>
    </row>
    <row r="288" spans="6:13" ht="12.75" customHeight="1" x14ac:dyDescent="0.2">
      <c r="F288" s="36"/>
      <c r="G288" s="36"/>
      <c r="H288" s="36"/>
      <c r="I288" s="122"/>
      <c r="J288" s="122"/>
      <c r="K288" s="122"/>
      <c r="L288" s="122"/>
      <c r="M288" s="122"/>
    </row>
    <row r="289" spans="6:13" ht="12.75" customHeight="1" x14ac:dyDescent="0.2">
      <c r="F289" s="36"/>
      <c r="G289" s="36"/>
      <c r="H289" s="36"/>
      <c r="I289" s="122"/>
      <c r="J289" s="122"/>
      <c r="K289" s="122"/>
      <c r="L289" s="122"/>
      <c r="M289" s="122"/>
    </row>
    <row r="290" spans="6:13" ht="12.75" customHeight="1" x14ac:dyDescent="0.2">
      <c r="F290" s="36"/>
      <c r="G290" s="36"/>
      <c r="H290" s="36"/>
      <c r="I290" s="122"/>
      <c r="J290" s="122"/>
      <c r="K290" s="122"/>
      <c r="L290" s="122"/>
      <c r="M290" s="122"/>
    </row>
    <row r="291" spans="6:13" ht="12.75" customHeight="1" x14ac:dyDescent="0.2">
      <c r="F291" s="36"/>
      <c r="G291" s="36"/>
      <c r="H291" s="36"/>
      <c r="I291" s="122"/>
      <c r="J291" s="122"/>
      <c r="K291" s="122"/>
      <c r="L291" s="122"/>
      <c r="M291" s="122"/>
    </row>
    <row r="292" spans="6:13" ht="12.75" customHeight="1" x14ac:dyDescent="0.2">
      <c r="F292" s="36"/>
      <c r="G292" s="36"/>
      <c r="H292" s="36"/>
      <c r="I292" s="122"/>
      <c r="J292" s="122"/>
      <c r="K292" s="122"/>
      <c r="L292" s="122"/>
      <c r="M292" s="122"/>
    </row>
    <row r="293" spans="6:13" ht="12.75" customHeight="1" x14ac:dyDescent="0.2">
      <c r="F293" s="36"/>
      <c r="G293" s="36"/>
      <c r="H293" s="36"/>
      <c r="I293" s="122"/>
      <c r="J293" s="122"/>
      <c r="K293" s="122"/>
      <c r="L293" s="122"/>
      <c r="M293" s="122"/>
    </row>
    <row r="294" spans="6:13" ht="12.75" customHeight="1" x14ac:dyDescent="0.2">
      <c r="F294" s="36"/>
      <c r="G294" s="36"/>
      <c r="H294" s="36"/>
      <c r="I294" s="122"/>
      <c r="J294" s="122"/>
      <c r="K294" s="122"/>
      <c r="L294" s="122"/>
      <c r="M294" s="122"/>
    </row>
    <row r="295" spans="6:13" ht="12.75" customHeight="1" x14ac:dyDescent="0.2">
      <c r="F295" s="36"/>
      <c r="G295" s="36"/>
      <c r="H295" s="36"/>
      <c r="I295" s="122"/>
      <c r="J295" s="122"/>
      <c r="K295" s="122"/>
      <c r="L295" s="122"/>
      <c r="M295" s="122"/>
    </row>
    <row r="296" spans="6:13" ht="12.75" customHeight="1" x14ac:dyDescent="0.2">
      <c r="F296" s="36"/>
      <c r="G296" s="36"/>
      <c r="H296" s="36"/>
      <c r="I296" s="122"/>
      <c r="J296" s="122"/>
      <c r="K296" s="122"/>
      <c r="L296" s="122"/>
      <c r="M296" s="122"/>
    </row>
    <row r="297" spans="6:13" ht="12.75" customHeight="1" x14ac:dyDescent="0.2">
      <c r="F297" s="36"/>
      <c r="G297" s="36"/>
      <c r="H297" s="36"/>
      <c r="I297" s="122"/>
      <c r="J297" s="122"/>
      <c r="K297" s="122"/>
      <c r="L297" s="122"/>
      <c r="M297" s="122"/>
    </row>
    <row r="298" spans="6:13" ht="12.75" customHeight="1" x14ac:dyDescent="0.2">
      <c r="F298" s="36"/>
      <c r="G298" s="36"/>
      <c r="H298" s="36"/>
      <c r="I298" s="122"/>
      <c r="J298" s="122"/>
      <c r="K298" s="122"/>
      <c r="L298" s="122"/>
      <c r="M298" s="122"/>
    </row>
    <row r="299" spans="6:13" ht="12.75" customHeight="1" x14ac:dyDescent="0.2">
      <c r="F299" s="36"/>
      <c r="G299" s="36"/>
      <c r="H299" s="36"/>
      <c r="I299" s="122"/>
      <c r="J299" s="122"/>
      <c r="K299" s="122"/>
      <c r="L299" s="122"/>
      <c r="M299" s="122"/>
    </row>
    <row r="300" spans="6:13" ht="12.75" customHeight="1" x14ac:dyDescent="0.2">
      <c r="F300" s="36"/>
      <c r="G300" s="36"/>
      <c r="H300" s="36"/>
      <c r="I300" s="122"/>
      <c r="J300" s="122"/>
      <c r="K300" s="122"/>
      <c r="L300" s="122"/>
      <c r="M300" s="122"/>
    </row>
    <row r="301" spans="6:13" ht="12.75" customHeight="1" x14ac:dyDescent="0.2">
      <c r="F301" s="36"/>
      <c r="G301" s="36"/>
      <c r="H301" s="36"/>
      <c r="I301" s="122"/>
      <c r="J301" s="122"/>
      <c r="K301" s="122"/>
      <c r="L301" s="122"/>
      <c r="M301" s="122"/>
    </row>
    <row r="302" spans="6:13" ht="12.75" customHeight="1" x14ac:dyDescent="0.2">
      <c r="F302" s="36"/>
      <c r="G302" s="36"/>
      <c r="H302" s="36"/>
      <c r="I302" s="122"/>
      <c r="J302" s="122"/>
      <c r="K302" s="122"/>
      <c r="L302" s="122"/>
      <c r="M302" s="122"/>
    </row>
    <row r="303" spans="6:13" ht="12.75" customHeight="1" x14ac:dyDescent="0.2">
      <c r="F303" s="36"/>
      <c r="G303" s="36"/>
      <c r="H303" s="36"/>
      <c r="I303" s="122"/>
      <c r="J303" s="122"/>
      <c r="K303" s="122"/>
      <c r="L303" s="122"/>
      <c r="M303" s="122"/>
    </row>
    <row r="304" spans="6:13" ht="12.75" customHeight="1" x14ac:dyDescent="0.2">
      <c r="F304" s="36"/>
      <c r="G304" s="36"/>
      <c r="H304" s="36"/>
      <c r="I304" s="122"/>
      <c r="J304" s="122"/>
      <c r="K304" s="122"/>
      <c r="L304" s="122"/>
      <c r="M304" s="122"/>
    </row>
    <row r="305" spans="6:13" ht="12.75" customHeight="1" x14ac:dyDescent="0.2">
      <c r="F305" s="36"/>
      <c r="G305" s="36"/>
      <c r="H305" s="36"/>
      <c r="I305" s="122"/>
      <c r="J305" s="122"/>
      <c r="K305" s="122"/>
      <c r="L305" s="122"/>
      <c r="M305" s="122"/>
    </row>
    <row r="306" spans="6:13" ht="12.75" customHeight="1" x14ac:dyDescent="0.2">
      <c r="F306" s="36"/>
      <c r="G306" s="36"/>
      <c r="H306" s="36"/>
      <c r="I306" s="122"/>
      <c r="J306" s="122"/>
      <c r="K306" s="122"/>
      <c r="L306" s="122"/>
      <c r="M306" s="122"/>
    </row>
    <row r="307" spans="6:13" ht="12.75" customHeight="1" x14ac:dyDescent="0.2">
      <c r="F307" s="36"/>
      <c r="G307" s="36"/>
      <c r="H307" s="36"/>
      <c r="I307" s="122"/>
      <c r="J307" s="122"/>
      <c r="K307" s="122"/>
      <c r="L307" s="122"/>
      <c r="M307" s="122"/>
    </row>
    <row r="308" spans="6:13" ht="12.75" customHeight="1" x14ac:dyDescent="0.2">
      <c r="F308" s="36"/>
      <c r="G308" s="36"/>
      <c r="H308" s="36"/>
      <c r="I308" s="122"/>
      <c r="J308" s="122"/>
      <c r="K308" s="122"/>
      <c r="L308" s="122"/>
      <c r="M308" s="122"/>
    </row>
    <row r="309" spans="6:13" ht="12.75" customHeight="1" x14ac:dyDescent="0.2">
      <c r="F309" s="36"/>
      <c r="G309" s="36"/>
      <c r="H309" s="36"/>
      <c r="I309" s="122"/>
      <c r="J309" s="122"/>
      <c r="K309" s="122"/>
      <c r="L309" s="122"/>
      <c r="M309" s="122"/>
    </row>
    <row r="310" spans="6:13" ht="12.75" customHeight="1" x14ac:dyDescent="0.2">
      <c r="F310" s="36"/>
      <c r="G310" s="36"/>
      <c r="H310" s="36"/>
      <c r="I310" s="122"/>
      <c r="J310" s="122"/>
      <c r="K310" s="122"/>
      <c r="L310" s="122"/>
      <c r="M310" s="122"/>
    </row>
    <row r="311" spans="6:13" ht="12.75" customHeight="1" x14ac:dyDescent="0.2">
      <c r="F311" s="36"/>
      <c r="G311" s="36"/>
      <c r="H311" s="36"/>
      <c r="I311" s="122"/>
      <c r="J311" s="122"/>
      <c r="K311" s="122"/>
      <c r="L311" s="122"/>
      <c r="M311" s="122"/>
    </row>
    <row r="312" spans="6:13" ht="12.75" customHeight="1" x14ac:dyDescent="0.2">
      <c r="F312" s="36"/>
      <c r="G312" s="36"/>
      <c r="H312" s="36"/>
      <c r="I312" s="122"/>
      <c r="J312" s="122"/>
      <c r="K312" s="122"/>
      <c r="L312" s="122"/>
      <c r="M312" s="122"/>
    </row>
    <row r="313" spans="6:13" ht="12.75" customHeight="1" x14ac:dyDescent="0.2">
      <c r="F313" s="36"/>
      <c r="G313" s="36"/>
      <c r="H313" s="36"/>
      <c r="I313" s="122"/>
      <c r="J313" s="122"/>
      <c r="K313" s="122"/>
      <c r="L313" s="122"/>
      <c r="M313" s="122"/>
    </row>
    <row r="314" spans="6:13" ht="12.75" customHeight="1" x14ac:dyDescent="0.2">
      <c r="F314" s="36"/>
      <c r="G314" s="36"/>
      <c r="H314" s="36"/>
      <c r="I314" s="122"/>
      <c r="J314" s="122"/>
      <c r="K314" s="122"/>
      <c r="L314" s="122"/>
      <c r="M314" s="122"/>
    </row>
    <row r="315" spans="6:13" ht="12.75" customHeight="1" x14ac:dyDescent="0.2">
      <c r="F315" s="36"/>
      <c r="G315" s="36"/>
      <c r="H315" s="36"/>
      <c r="I315" s="122"/>
      <c r="J315" s="122"/>
      <c r="K315" s="122"/>
      <c r="L315" s="122"/>
      <c r="M315" s="122"/>
    </row>
    <row r="316" spans="6:13" ht="12.75" customHeight="1" x14ac:dyDescent="0.2">
      <c r="F316" s="36"/>
      <c r="G316" s="36"/>
      <c r="H316" s="36"/>
      <c r="I316" s="122"/>
      <c r="J316" s="122"/>
      <c r="K316" s="122"/>
      <c r="L316" s="122"/>
      <c r="M316" s="122"/>
    </row>
    <row r="317" spans="6:13" ht="12.75" customHeight="1" x14ac:dyDescent="0.2">
      <c r="F317" s="36"/>
      <c r="G317" s="36"/>
      <c r="H317" s="36"/>
      <c r="I317" s="122"/>
      <c r="J317" s="122"/>
      <c r="K317" s="122"/>
      <c r="L317" s="122"/>
      <c r="M317" s="122"/>
    </row>
    <row r="318" spans="6:13" ht="12.75" customHeight="1" x14ac:dyDescent="0.2">
      <c r="F318" s="36"/>
      <c r="G318" s="36"/>
      <c r="H318" s="36"/>
      <c r="I318" s="122"/>
      <c r="J318" s="122"/>
      <c r="K318" s="122"/>
      <c r="L318" s="122"/>
      <c r="M318" s="122"/>
    </row>
    <row r="319" spans="6:13" ht="12.75" customHeight="1" x14ac:dyDescent="0.2">
      <c r="F319" s="36"/>
      <c r="G319" s="36"/>
      <c r="H319" s="36"/>
      <c r="I319" s="122"/>
      <c r="J319" s="122"/>
      <c r="K319" s="122"/>
      <c r="L319" s="122"/>
      <c r="M319" s="122"/>
    </row>
    <row r="320" spans="6:13" ht="12.75" customHeight="1" x14ac:dyDescent="0.2">
      <c r="F320" s="36"/>
      <c r="G320" s="36"/>
      <c r="H320" s="36"/>
      <c r="I320" s="122"/>
      <c r="J320" s="122"/>
      <c r="K320" s="122"/>
      <c r="L320" s="122"/>
      <c r="M320" s="122"/>
    </row>
    <row r="321" spans="6:13" ht="12.75" customHeight="1" x14ac:dyDescent="0.2">
      <c r="F321" s="36"/>
      <c r="G321" s="36"/>
      <c r="H321" s="36"/>
      <c r="I321" s="122"/>
      <c r="J321" s="122"/>
      <c r="K321" s="122"/>
      <c r="L321" s="122"/>
      <c r="M321" s="122"/>
    </row>
    <row r="322" spans="6:13" ht="12.75" customHeight="1" x14ac:dyDescent="0.2">
      <c r="F322" s="36"/>
      <c r="G322" s="36"/>
      <c r="H322" s="36"/>
      <c r="I322" s="122"/>
      <c r="J322" s="122"/>
      <c r="K322" s="122"/>
      <c r="L322" s="122"/>
      <c r="M322" s="122"/>
    </row>
    <row r="323" spans="6:13" ht="12.75" customHeight="1" x14ac:dyDescent="0.2">
      <c r="F323" s="36"/>
      <c r="G323" s="36"/>
      <c r="H323" s="36"/>
      <c r="I323" s="122"/>
      <c r="J323" s="122"/>
      <c r="K323" s="122"/>
      <c r="L323" s="122"/>
      <c r="M323" s="122"/>
    </row>
    <row r="324" spans="6:13" ht="12.75" customHeight="1" x14ac:dyDescent="0.2">
      <c r="F324" s="36"/>
      <c r="G324" s="36"/>
      <c r="H324" s="36"/>
      <c r="I324" s="122"/>
      <c r="J324" s="122"/>
      <c r="K324" s="122"/>
      <c r="L324" s="122"/>
      <c r="M324" s="122"/>
    </row>
    <row r="325" spans="6:13" ht="12.75" customHeight="1" x14ac:dyDescent="0.2">
      <c r="F325" s="36"/>
      <c r="G325" s="36"/>
      <c r="H325" s="36"/>
      <c r="I325" s="122"/>
      <c r="J325" s="122"/>
      <c r="K325" s="122"/>
      <c r="L325" s="122"/>
      <c r="M325" s="122"/>
    </row>
    <row r="326" spans="6:13" ht="12.75" customHeight="1" x14ac:dyDescent="0.2">
      <c r="F326" s="36"/>
      <c r="G326" s="36"/>
      <c r="H326" s="36"/>
      <c r="I326" s="122"/>
      <c r="J326" s="122"/>
      <c r="K326" s="122"/>
      <c r="L326" s="122"/>
      <c r="M326" s="122"/>
    </row>
    <row r="327" spans="6:13" ht="12.75" customHeight="1" x14ac:dyDescent="0.2">
      <c r="F327" s="36"/>
      <c r="G327" s="36"/>
      <c r="H327" s="36"/>
      <c r="I327" s="122"/>
      <c r="J327" s="122"/>
      <c r="K327" s="122"/>
      <c r="L327" s="122"/>
      <c r="M327" s="122"/>
    </row>
    <row r="328" spans="6:13" ht="12.75" customHeight="1" x14ac:dyDescent="0.2">
      <c r="F328" s="36"/>
      <c r="G328" s="36"/>
      <c r="H328" s="36"/>
      <c r="I328" s="122"/>
      <c r="J328" s="122"/>
      <c r="K328" s="122"/>
      <c r="L328" s="122"/>
      <c r="M328" s="122"/>
    </row>
    <row r="329" spans="6:13" ht="12.75" customHeight="1" x14ac:dyDescent="0.2">
      <c r="F329" s="36"/>
      <c r="G329" s="36"/>
      <c r="H329" s="36"/>
      <c r="I329" s="122"/>
      <c r="J329" s="122"/>
      <c r="K329" s="122"/>
      <c r="L329" s="122"/>
      <c r="M329" s="122"/>
    </row>
    <row r="330" spans="6:13" ht="12.75" customHeight="1" x14ac:dyDescent="0.2">
      <c r="F330" s="36"/>
      <c r="G330" s="36"/>
      <c r="H330" s="36"/>
      <c r="I330" s="122"/>
      <c r="J330" s="122"/>
      <c r="K330" s="122"/>
      <c r="L330" s="122"/>
      <c r="M330" s="122"/>
    </row>
    <row r="331" spans="6:13" ht="12.75" customHeight="1" x14ac:dyDescent="0.2">
      <c r="F331" s="36"/>
      <c r="G331" s="36"/>
      <c r="H331" s="36"/>
      <c r="I331" s="122"/>
      <c r="J331" s="122"/>
      <c r="K331" s="122"/>
      <c r="L331" s="122"/>
      <c r="M331" s="122"/>
    </row>
    <row r="332" spans="6:13" ht="12.75" customHeight="1" x14ac:dyDescent="0.2">
      <c r="F332" s="36"/>
      <c r="G332" s="36"/>
      <c r="H332" s="36"/>
      <c r="I332" s="122"/>
      <c r="J332" s="122"/>
      <c r="K332" s="122"/>
      <c r="L332" s="122"/>
      <c r="M332" s="122"/>
    </row>
    <row r="333" spans="6:13" ht="12.75" customHeight="1" x14ac:dyDescent="0.2">
      <c r="F333" s="36"/>
      <c r="G333" s="36"/>
      <c r="H333" s="36"/>
      <c r="I333" s="122"/>
      <c r="J333" s="122"/>
      <c r="K333" s="122"/>
      <c r="L333" s="122"/>
      <c r="M333" s="122"/>
    </row>
    <row r="334" spans="6:13" ht="12.75" customHeight="1" x14ac:dyDescent="0.2">
      <c r="F334" s="36"/>
      <c r="G334" s="36"/>
      <c r="H334" s="36"/>
      <c r="I334" s="122"/>
      <c r="J334" s="122"/>
      <c r="K334" s="122"/>
      <c r="L334" s="122"/>
      <c r="M334" s="122"/>
    </row>
    <row r="335" spans="6:13" ht="12.75" customHeight="1" x14ac:dyDescent="0.2">
      <c r="F335" s="36"/>
      <c r="G335" s="36"/>
      <c r="H335" s="36"/>
    </row>
    <row r="336" spans="6:13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/>
    <row r="815" spans="6:8" ht="12.75" customHeight="1" x14ac:dyDescent="0.2"/>
    <row r="816" spans="6:8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</sheetData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E11" sqref="E11"/>
    </sheetView>
  </sheetViews>
  <sheetFormatPr defaultColWidth="12.5703125" defaultRowHeight="15" customHeight="1" x14ac:dyDescent="0.2"/>
  <cols>
    <col min="1" max="26" width="8.5703125" customWidth="1"/>
  </cols>
  <sheetData>
    <row r="1" spans="1:4" ht="12.75" customHeight="1" x14ac:dyDescent="0.2">
      <c r="C1" t="s">
        <v>127</v>
      </c>
    </row>
    <row r="2" spans="1:4" ht="12.75" customHeight="1" x14ac:dyDescent="0.2">
      <c r="A2" s="30">
        <v>1</v>
      </c>
      <c r="B2" s="30">
        <v>0</v>
      </c>
      <c r="C2" s="30" t="s">
        <v>106</v>
      </c>
      <c r="D2" s="30">
        <v>2006</v>
      </c>
    </row>
    <row r="3" spans="1:4" ht="12.75" customHeight="1" x14ac:dyDescent="0.2">
      <c r="A3" s="30">
        <v>2</v>
      </c>
      <c r="B3" s="30">
        <v>1</v>
      </c>
      <c r="C3" s="30" t="s">
        <v>107</v>
      </c>
      <c r="D3" s="30">
        <f t="shared" ref="D3:D19" si="0">D2+1</f>
        <v>2007</v>
      </c>
    </row>
    <row r="4" spans="1:4" ht="12.75" customHeight="1" x14ac:dyDescent="0.2">
      <c r="A4" s="30">
        <v>3</v>
      </c>
      <c r="B4" s="30">
        <v>2</v>
      </c>
      <c r="C4" s="30" t="s">
        <v>108</v>
      </c>
      <c r="D4" s="30">
        <f t="shared" si="0"/>
        <v>2008</v>
      </c>
    </row>
    <row r="5" spans="1:4" ht="12.75" customHeight="1" x14ac:dyDescent="0.2">
      <c r="A5" s="30">
        <v>4</v>
      </c>
      <c r="B5" s="30">
        <v>3</v>
      </c>
      <c r="C5" s="30" t="s">
        <v>109</v>
      </c>
      <c r="D5" s="30">
        <f t="shared" si="0"/>
        <v>2009</v>
      </c>
    </row>
    <row r="6" spans="1:4" ht="12.75" customHeight="1" x14ac:dyDescent="0.2">
      <c r="A6" s="30">
        <v>5</v>
      </c>
      <c r="B6" s="30">
        <v>4</v>
      </c>
      <c r="C6" s="30" t="s">
        <v>110</v>
      </c>
      <c r="D6" s="30">
        <f t="shared" si="0"/>
        <v>2010</v>
      </c>
    </row>
    <row r="7" spans="1:4" ht="12.75" customHeight="1" x14ac:dyDescent="0.2">
      <c r="A7" s="30">
        <v>6</v>
      </c>
      <c r="B7" s="30">
        <v>5</v>
      </c>
      <c r="C7" s="30" t="s">
        <v>111</v>
      </c>
      <c r="D7" s="30">
        <f t="shared" si="0"/>
        <v>2011</v>
      </c>
    </row>
    <row r="8" spans="1:4" ht="12.75" customHeight="1" x14ac:dyDescent="0.2">
      <c r="A8" s="30">
        <v>7</v>
      </c>
      <c r="B8" s="30">
        <v>6</v>
      </c>
      <c r="C8" s="30" t="s">
        <v>112</v>
      </c>
      <c r="D8" s="30">
        <f t="shared" si="0"/>
        <v>2012</v>
      </c>
    </row>
    <row r="9" spans="1:4" ht="12.75" customHeight="1" x14ac:dyDescent="0.2">
      <c r="A9" s="30">
        <v>8</v>
      </c>
      <c r="B9" s="30">
        <v>7</v>
      </c>
      <c r="C9" s="30" t="s">
        <v>113</v>
      </c>
      <c r="D9" s="30">
        <f t="shared" si="0"/>
        <v>2013</v>
      </c>
    </row>
    <row r="10" spans="1:4" ht="12.75" customHeight="1" x14ac:dyDescent="0.2">
      <c r="A10" s="30">
        <v>9</v>
      </c>
      <c r="B10" s="30">
        <v>8</v>
      </c>
      <c r="C10" s="30" t="s">
        <v>114</v>
      </c>
      <c r="D10" s="30">
        <f t="shared" si="0"/>
        <v>2014</v>
      </c>
    </row>
    <row r="11" spans="1:4" ht="12.75" customHeight="1" x14ac:dyDescent="0.2">
      <c r="A11" s="30">
        <v>10</v>
      </c>
      <c r="B11" s="30">
        <v>9</v>
      </c>
      <c r="C11" s="30" t="s">
        <v>115</v>
      </c>
      <c r="D11" s="30">
        <f t="shared" si="0"/>
        <v>2015</v>
      </c>
    </row>
    <row r="12" spans="1:4" ht="12.75" customHeight="1" x14ac:dyDescent="0.2">
      <c r="A12" s="30">
        <v>11</v>
      </c>
      <c r="B12" s="30">
        <v>10</v>
      </c>
      <c r="C12" s="30" t="s">
        <v>116</v>
      </c>
      <c r="D12" s="30">
        <f t="shared" si="0"/>
        <v>2016</v>
      </c>
    </row>
    <row r="13" spans="1:4" ht="12.75" customHeight="1" x14ac:dyDescent="0.2">
      <c r="A13" s="30">
        <v>12</v>
      </c>
      <c r="B13" s="30">
        <v>11</v>
      </c>
      <c r="C13" s="30" t="s">
        <v>117</v>
      </c>
      <c r="D13" s="30">
        <f t="shared" si="0"/>
        <v>2017</v>
      </c>
    </row>
    <row r="14" spans="1:4" ht="12.75" customHeight="1" x14ac:dyDescent="0.2">
      <c r="D14" s="30">
        <f t="shared" si="0"/>
        <v>2018</v>
      </c>
    </row>
    <row r="15" spans="1:4" ht="12.75" customHeight="1" x14ac:dyDescent="0.2">
      <c r="D15" s="30">
        <f t="shared" si="0"/>
        <v>2019</v>
      </c>
    </row>
    <row r="16" spans="1:4" ht="12.75" customHeight="1" x14ac:dyDescent="0.2">
      <c r="D16" s="30">
        <f t="shared" si="0"/>
        <v>2020</v>
      </c>
    </row>
    <row r="17" spans="4:4" ht="12.75" customHeight="1" x14ac:dyDescent="0.2">
      <c r="D17" s="30">
        <f t="shared" si="0"/>
        <v>2021</v>
      </c>
    </row>
    <row r="18" spans="4:4" ht="12.75" customHeight="1" x14ac:dyDescent="0.2">
      <c r="D18" s="30">
        <f t="shared" si="0"/>
        <v>2022</v>
      </c>
    </row>
    <row r="19" spans="4:4" ht="12.75" customHeight="1" x14ac:dyDescent="0.2">
      <c r="D19" s="30">
        <f t="shared" si="0"/>
        <v>2023</v>
      </c>
    </row>
    <row r="20" spans="4:4" ht="12.75" customHeight="1" x14ac:dyDescent="0.2"/>
    <row r="21" spans="4:4" ht="12.75" customHeight="1" x14ac:dyDescent="0.2"/>
    <row r="22" spans="4:4" ht="12.75" customHeight="1" x14ac:dyDescent="0.2"/>
    <row r="23" spans="4:4" ht="12.75" customHeight="1" x14ac:dyDescent="0.2"/>
    <row r="24" spans="4:4" ht="12.75" customHeight="1" x14ac:dyDescent="0.2"/>
    <row r="25" spans="4:4" ht="12.75" customHeight="1" x14ac:dyDescent="0.2"/>
    <row r="26" spans="4:4" ht="12.75" customHeight="1" x14ac:dyDescent="0.2"/>
    <row r="27" spans="4:4" ht="12.75" customHeight="1" x14ac:dyDescent="0.2"/>
    <row r="28" spans="4:4" ht="12.75" customHeight="1" x14ac:dyDescent="0.2"/>
    <row r="29" spans="4:4" ht="12.75" customHeight="1" x14ac:dyDescent="0.2"/>
    <row r="30" spans="4:4" ht="12.75" customHeight="1" x14ac:dyDescent="0.2"/>
    <row r="31" spans="4:4" ht="12.75" customHeight="1" x14ac:dyDescent="0.2"/>
    <row r="32" spans="4: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PrivTax-old</vt:lpstr>
      <vt:lpstr>2480</vt:lpstr>
      <vt:lpstr>1029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Hillary Adams</cp:lastModifiedBy>
  <dcterms:created xsi:type="dcterms:W3CDTF">2006-06-21T02:20:14Z</dcterms:created>
  <dcterms:modified xsi:type="dcterms:W3CDTF">2023-12-02T03:51:59Z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